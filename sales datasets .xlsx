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hidden" name="dispatch_ledger (1)" sheetId="2" r:id="rId6"/>
    <sheet state="hidden" name="Sheet2" sheetId="3" r:id="rId7"/>
    <sheet state="hidden" name="Sheet6" sheetId="4" r:id="rId8"/>
    <sheet state="hidden" name="Sheet3" sheetId="5" r:id="rId9"/>
    <sheet state="hidden" name="Sheet4" sheetId="6" r:id="rId10"/>
    <sheet state="hidden" name="Sheet7" sheetId="7" r:id="rId11"/>
    <sheet state="visible" name="SALES REPORT of 3 months" sheetId="8" r:id="rId12"/>
    <sheet state="hidden" name="Sheet9" sheetId="9" r:id="rId13"/>
    <sheet state="hidden" name="Sheet8" sheetId="10" r:id="rId14"/>
    <sheet state="hidden" name="Sheet10" sheetId="11" r:id="rId15"/>
    <sheet state="hidden" name="customer contact" sheetId="12" r:id="rId16"/>
    <sheet state="visible" name="charts" sheetId="13" r:id="rId17"/>
    <sheet state="visible" name="ED ANALYSIS" sheetId="14" r:id="rId18"/>
    <sheet state="visible" name="Sheet14" sheetId="15" r:id="rId19"/>
    <sheet state="visible" name="data dictionary" sheetId="16" r:id="rId20"/>
  </sheets>
  <definedNames>
    <definedName hidden="1" localSheetId="7" name="Z_B0FA29CB_57D5_42BD_B2AA_000689D3F56C_.wvu.FilterData">'SALES REPORT of 3 months'!$A$1:$F$238</definedName>
    <definedName hidden="1" localSheetId="7" name="Z_B0FA29CB_57D5_42BD_B2AA_000689D3F56C_.wvu.FilterData">'SALES REPORT of 3 months'!$A$1:$F$438</definedName>
  </definedNames>
  <calcPr/>
  <customWorkbookViews>
    <customWorkbookView activeSheetId="0" maximized="1" windowHeight="0" windowWidth="0" guid="{B0FA29CB-57D5-42BD-B2AA-000689D3F56C}" name="Table1 filter view"/>
  </customWorkbookViews>
</workbook>
</file>

<file path=xl/sharedStrings.xml><?xml version="1.0" encoding="utf-8"?>
<sst xmlns="http://schemas.openxmlformats.org/spreadsheetml/2006/main" count="1859" uniqueCount="366">
  <si>
    <t>Phone Number</t>
  </si>
  <si>
    <t>Destination</t>
  </si>
  <si>
    <t>Products</t>
  </si>
  <si>
    <t>Quantity</t>
  </si>
  <si>
    <t>Dispatch Date</t>
  </si>
  <si>
    <t>Onitsha</t>
  </si>
  <si>
    <t>ulcer tea</t>
  </si>
  <si>
    <t>24/6/2026</t>
  </si>
  <si>
    <t>Slimming tea</t>
  </si>
  <si>
    <t>Tea for men</t>
  </si>
  <si>
    <t>tea for men</t>
  </si>
  <si>
    <t>Ayatala/Ija Lagos</t>
  </si>
  <si>
    <t>postrate tea</t>
  </si>
  <si>
    <t>Sugar tea's</t>
  </si>
  <si>
    <t>ABA</t>
  </si>
  <si>
    <t>Pillow</t>
  </si>
  <si>
    <t>27/6/2026</t>
  </si>
  <si>
    <t>Ulcer-tea</t>
  </si>
  <si>
    <t>Sperm booster</t>
  </si>
  <si>
    <t>Bayelsa</t>
  </si>
  <si>
    <t>Cholestrol</t>
  </si>
  <si>
    <t>Lagos Ijobaye</t>
  </si>
  <si>
    <t>28/6/2026</t>
  </si>
  <si>
    <t>mazamaza lash first</t>
  </si>
  <si>
    <t>29/6/2026</t>
  </si>
  <si>
    <t>infection-tea</t>
  </si>
  <si>
    <t>First lash</t>
  </si>
  <si>
    <t>Port harcourt</t>
  </si>
  <si>
    <t>BP tea</t>
  </si>
  <si>
    <t>Liver tea</t>
  </si>
  <si>
    <t>Sugar tea</t>
  </si>
  <si>
    <t>indigestion tea</t>
  </si>
  <si>
    <t>anambra/onitsha</t>
  </si>
  <si>
    <t>Kidney tea</t>
  </si>
  <si>
    <t>30/6/2026</t>
  </si>
  <si>
    <t>Ulcer tea</t>
  </si>
  <si>
    <t>Sugar Tea</t>
  </si>
  <si>
    <t>Ulcer</t>
  </si>
  <si>
    <t>Enugu</t>
  </si>
  <si>
    <t>Lagos alaba</t>
  </si>
  <si>
    <t>mazamaza Lagos</t>
  </si>
  <si>
    <t>postrate-tea</t>
  </si>
  <si>
    <t>mazamaza</t>
  </si>
  <si>
    <t>Sugar</t>
  </si>
  <si>
    <t>Onitsha/Lagos</t>
  </si>
  <si>
    <t>North Carolina USA</t>
  </si>
  <si>
    <t>BP Tea</t>
  </si>
  <si>
    <t>+1(336)5247158</t>
  </si>
  <si>
    <t>Sperm Booster</t>
  </si>
  <si>
    <t>Abba Gana</t>
  </si>
  <si>
    <t>Solar Green</t>
  </si>
  <si>
    <t>Small Solar G.</t>
  </si>
  <si>
    <t>Umuahia</t>
  </si>
  <si>
    <t>Indigestion Ts</t>
  </si>
  <si>
    <t>Akwa Ibom</t>
  </si>
  <si>
    <t>Infection Chon</t>
  </si>
  <si>
    <t>Fibroid tea</t>
  </si>
  <si>
    <t>Prostate</t>
  </si>
  <si>
    <t>Abuja</t>
  </si>
  <si>
    <t>Lagos</t>
  </si>
  <si>
    <t>151, Agu Dimdun</t>
  </si>
  <si>
    <t>Lavender skin</t>
  </si>
  <si>
    <t>PH Water Line ABA</t>
  </si>
  <si>
    <t>Liver Cleanse</t>
  </si>
  <si>
    <t>PH Water Line</t>
  </si>
  <si>
    <t>Small blender</t>
  </si>
  <si>
    <t>Awka</t>
  </si>
  <si>
    <t>Cholesterol</t>
  </si>
  <si>
    <t>Ulcer Tea</t>
  </si>
  <si>
    <t>Product</t>
  </si>
  <si>
    <t>Quantity Dispatched</t>
  </si>
  <si>
    <t>Date</t>
  </si>
  <si>
    <t>Infection</t>
  </si>
  <si>
    <t>Ulc</t>
  </si>
  <si>
    <t>Asaba</t>
  </si>
  <si>
    <t>Slimming</t>
  </si>
  <si>
    <t>Prost</t>
  </si>
  <si>
    <t>Aba</t>
  </si>
  <si>
    <t>Liver Tea</t>
  </si>
  <si>
    <t>Slimming Tea</t>
  </si>
  <si>
    <t>Infection Tea</t>
  </si>
  <si>
    <t>Lagos, Mainland</t>
  </si>
  <si>
    <t>Immune Booster</t>
  </si>
  <si>
    <t>Lagos Egbeda</t>
  </si>
  <si>
    <t>Diabb</t>
  </si>
  <si>
    <t>13/8/2026</t>
  </si>
  <si>
    <t>Aba, Abia state</t>
  </si>
  <si>
    <t>17/8/2026</t>
  </si>
  <si>
    <t>Iyamho, Lagos</t>
  </si>
  <si>
    <t>Bp Tea</t>
  </si>
  <si>
    <t>Mushin, Lagos</t>
  </si>
  <si>
    <t>Umuahia, Abia state</t>
  </si>
  <si>
    <t>1 sachet</t>
  </si>
  <si>
    <t>20/8/2026</t>
  </si>
  <si>
    <t>Cholesterol Tea</t>
  </si>
  <si>
    <t>24/8/2026</t>
  </si>
  <si>
    <t>1 Tin</t>
  </si>
  <si>
    <t>Tea for Men</t>
  </si>
  <si>
    <t>Prostrate Tea</t>
  </si>
  <si>
    <t>Tea for Kidney</t>
  </si>
  <si>
    <t>Ajah, Lagos</t>
  </si>
  <si>
    <t>Tea for Liver</t>
  </si>
  <si>
    <t>07026726707, 07026726204</t>
  </si>
  <si>
    <t>Lagos Malasolu</t>
  </si>
  <si>
    <t>15/7/2026</t>
  </si>
  <si>
    <t>Injection tea</t>
  </si>
  <si>
    <t>Olu</t>
  </si>
  <si>
    <t>infertility tea</t>
  </si>
  <si>
    <t>NSUKKA</t>
  </si>
  <si>
    <t>Diabetes Tea</t>
  </si>
  <si>
    <t>catarrh Tea</t>
  </si>
  <si>
    <t>16/7/2026</t>
  </si>
  <si>
    <t>ulcer</t>
  </si>
  <si>
    <t>diabetes</t>
  </si>
  <si>
    <t>Okla</t>
  </si>
  <si>
    <t>Orlu</t>
  </si>
  <si>
    <t>Light</t>
  </si>
  <si>
    <t>17/12/2026</t>
  </si>
  <si>
    <t>injection</t>
  </si>
  <si>
    <t>SLimming Tea</t>
  </si>
  <si>
    <t>20/7/2026</t>
  </si>
  <si>
    <t>Lagos, Alafia</t>
  </si>
  <si>
    <t>21/7/2026</t>
  </si>
  <si>
    <t>Prostrate tea</t>
  </si>
  <si>
    <t>Juice Extractor</t>
  </si>
  <si>
    <t>Cholestrol tea</t>
  </si>
  <si>
    <t>Bp tea</t>
  </si>
  <si>
    <t>Lagos Idimu</t>
  </si>
  <si>
    <t>21/12/2026</t>
  </si>
  <si>
    <t>NNEWI</t>
  </si>
  <si>
    <t>Prostrate</t>
  </si>
  <si>
    <t>23/7/2026</t>
  </si>
  <si>
    <t>23/1/2026</t>
  </si>
  <si>
    <t>23/11/2026</t>
  </si>
  <si>
    <t>P05/Font</t>
  </si>
  <si>
    <t>Sperm boost</t>
  </si>
  <si>
    <t>Phone number</t>
  </si>
  <si>
    <t>Date/Dispatcher number</t>
  </si>
  <si>
    <t>Lucky World (Lagos)</t>
  </si>
  <si>
    <t>25/7/2026</t>
  </si>
  <si>
    <t>Lucky World Lagos</t>
  </si>
  <si>
    <t>Lungs tea</t>
  </si>
  <si>
    <t>+1(214)7233147</t>
  </si>
  <si>
    <t>USA</t>
  </si>
  <si>
    <t>26/7/2026</t>
  </si>
  <si>
    <t>small kettle</t>
  </si>
  <si>
    <t>Binel</t>
  </si>
  <si>
    <t>Solar generator</t>
  </si>
  <si>
    <t>Kidney</t>
  </si>
  <si>
    <t>27/7/2026</t>
  </si>
  <si>
    <t>Abuja Gwarinpa</t>
  </si>
  <si>
    <t>Abuja Kubwa</t>
  </si>
  <si>
    <t>Pie Cream</t>
  </si>
  <si>
    <t>28/7/2026</t>
  </si>
  <si>
    <t>Lagos Mile12</t>
  </si>
  <si>
    <t>29/7/2026</t>
  </si>
  <si>
    <t>Fibroid</t>
  </si>
  <si>
    <t>Lagos Iyanapaja</t>
  </si>
  <si>
    <t>Cataract tea</t>
  </si>
  <si>
    <t>Pains tea</t>
  </si>
  <si>
    <t>ulcer Tea</t>
  </si>
  <si>
    <t>Immune System</t>
  </si>
  <si>
    <t>Warri</t>
  </si>
  <si>
    <t>Lagos Main</t>
  </si>
  <si>
    <t>Immune Tea</t>
  </si>
  <si>
    <t>Lagos main</t>
  </si>
  <si>
    <t>Cholesterol tea</t>
  </si>
  <si>
    <t>Minna</t>
  </si>
  <si>
    <t>Benin City</t>
  </si>
  <si>
    <t>Catarrak Tea</t>
  </si>
  <si>
    <t>Ikeja, Lagos</t>
  </si>
  <si>
    <t>Testosterone</t>
  </si>
  <si>
    <t>18/6/2026</t>
  </si>
  <si>
    <t>ABA, Onyerachi</t>
  </si>
  <si>
    <t>Ezeore, Ondo</t>
  </si>
  <si>
    <t>Arthritis Tea</t>
  </si>
  <si>
    <t>Kidney Tea</t>
  </si>
  <si>
    <t>19/6/2026</t>
  </si>
  <si>
    <t>Postrate Tea</t>
  </si>
  <si>
    <t>Anambra / Nnewi</t>
  </si>
  <si>
    <t>Fibroid Tea</t>
  </si>
  <si>
    <t>Lagos, Agege</t>
  </si>
  <si>
    <t>Alhaji Yusuf Lagos, Isolo way</t>
  </si>
  <si>
    <t>22/6/2026</t>
  </si>
  <si>
    <t>Mazmaz Lagos</t>
  </si>
  <si>
    <t>20/6/2026</t>
  </si>
  <si>
    <t>Ibadan, Lagos</t>
  </si>
  <si>
    <t>Lucky Lekki, Lagos</t>
  </si>
  <si>
    <t>Okota, Lagos</t>
  </si>
  <si>
    <t>Power Bank</t>
  </si>
  <si>
    <t>Ebonyi State</t>
  </si>
  <si>
    <t>Solar General</t>
  </si>
  <si>
    <t>23/6/2026</t>
  </si>
  <si>
    <t>Oba</t>
  </si>
  <si>
    <t>Boko Borno</t>
  </si>
  <si>
    <t>Ikorodu, Lagos</t>
  </si>
  <si>
    <t>Cele, Lagos</t>
  </si>
  <si>
    <t>Maza maza, Lagos</t>
  </si>
  <si>
    <t>Abuja, Gwagwalada</t>
  </si>
  <si>
    <t>Clipper</t>
  </si>
  <si>
    <t>Pile Tea</t>
  </si>
  <si>
    <t>Bladder Tea</t>
  </si>
  <si>
    <t>14/7/2026</t>
  </si>
  <si>
    <t>Nnewi</t>
  </si>
  <si>
    <t>Zubru</t>
  </si>
  <si>
    <t>Antibiotic</t>
  </si>
  <si>
    <t>BP</t>
  </si>
  <si>
    <t>Car Airfresher</t>
  </si>
  <si>
    <t>Okrika</t>
  </si>
  <si>
    <t>Arthritis</t>
  </si>
  <si>
    <t>DATE</t>
  </si>
  <si>
    <t>Customer ID</t>
  </si>
  <si>
    <t>City</t>
  </si>
  <si>
    <t>State</t>
  </si>
  <si>
    <t>Benin</t>
  </si>
  <si>
    <t>Cholestrol Tea</t>
  </si>
  <si>
    <t>Abia</t>
  </si>
  <si>
    <t>Ezeore</t>
  </si>
  <si>
    <t>Ondo</t>
  </si>
  <si>
    <t>Ikeja</t>
  </si>
  <si>
    <t>Portharcourt</t>
  </si>
  <si>
    <t>Rivers</t>
  </si>
  <si>
    <t>Anambra</t>
  </si>
  <si>
    <t>Agege</t>
  </si>
  <si>
    <t>Ibadan</t>
  </si>
  <si>
    <t>Mazamaza</t>
  </si>
  <si>
    <t>Alhaji Yusuf</t>
  </si>
  <si>
    <t>Tea For Men</t>
  </si>
  <si>
    <t>Lucky World</t>
  </si>
  <si>
    <t>Okota</t>
  </si>
  <si>
    <t>Gwagwalada</t>
  </si>
  <si>
    <t>Uyo</t>
  </si>
  <si>
    <t>Boko</t>
  </si>
  <si>
    <t>Borno</t>
  </si>
  <si>
    <t>Cele</t>
  </si>
  <si>
    <t>Ebonyi</t>
  </si>
  <si>
    <t>Solar Generator</t>
  </si>
  <si>
    <t>Ikorodu</t>
  </si>
  <si>
    <t>Ayatala</t>
  </si>
  <si>
    <t>N/a</t>
  </si>
  <si>
    <t>Ijobaye</t>
  </si>
  <si>
    <t>Indigestion Tea</t>
  </si>
  <si>
    <t>Alaba</t>
  </si>
  <si>
    <t>Abbagana</t>
  </si>
  <si>
    <t>Solar Generator small</t>
  </si>
  <si>
    <t>North Carolina</t>
  </si>
  <si>
    <t>Usa</t>
  </si>
  <si>
    <t>151, Agu Junction</t>
  </si>
  <si>
    <t>Imo</t>
  </si>
  <si>
    <t>Lavender Skin</t>
  </si>
  <si>
    <t>Small Blender</t>
  </si>
  <si>
    <t>Anti aging Tea</t>
  </si>
  <si>
    <t>Delta</t>
  </si>
  <si>
    <t>Zabwa</t>
  </si>
  <si>
    <t>Malasolu</t>
  </si>
  <si>
    <t>Nsukka</t>
  </si>
  <si>
    <t>Infertility Tea</t>
  </si>
  <si>
    <t>Alafia</t>
  </si>
  <si>
    <t>Idimu</t>
  </si>
  <si>
    <t>Lungs Tea</t>
  </si>
  <si>
    <t>Solar Panel</t>
  </si>
  <si>
    <t>Small Kettle</t>
  </si>
  <si>
    <t>Gwarimpa</t>
  </si>
  <si>
    <t>Kubwa</t>
  </si>
  <si>
    <t>Pile Cream</t>
  </si>
  <si>
    <t>Mile 12</t>
  </si>
  <si>
    <t>Iyanapaja</t>
  </si>
  <si>
    <t>Cataract Tea</t>
  </si>
  <si>
    <t>Immune booster</t>
  </si>
  <si>
    <t>Egbeda</t>
  </si>
  <si>
    <t>Iyamho</t>
  </si>
  <si>
    <t>Mushin</t>
  </si>
  <si>
    <t>Ajah</t>
  </si>
  <si>
    <t>3.5Kva Solar Generator</t>
  </si>
  <si>
    <t>3 Kva Gen</t>
  </si>
  <si>
    <t>3 Lens Camera</t>
  </si>
  <si>
    <t>Solar Charger (4G)</t>
  </si>
  <si>
    <t>Desktop Fan</t>
  </si>
  <si>
    <t>Tea For Kidney</t>
  </si>
  <si>
    <t>Tea For Bp</t>
  </si>
  <si>
    <t>Lucky David Lagos</t>
  </si>
  <si>
    <t>lugs tea</t>
  </si>
  <si>
    <t>+1(214)723314</t>
  </si>
  <si>
    <t>Panel</t>
  </si>
  <si>
    <t>Abuja Lugbe</t>
  </si>
  <si>
    <t>Lagos Mazamaza</t>
  </si>
  <si>
    <t>Lagos iyanapaja</t>
  </si>
  <si>
    <t>Prost Tea</t>
  </si>
  <si>
    <t>Immune system</t>
  </si>
  <si>
    <t>LAGOS maza</t>
  </si>
  <si>
    <t>Immune tea</t>
  </si>
  <si>
    <t>Lagos mazamaza</t>
  </si>
  <si>
    <t>Lagos maza</t>
  </si>
  <si>
    <t>Spermbooster</t>
  </si>
  <si>
    <t>Address/Location</t>
  </si>
  <si>
    <t>Quantity/Duration</t>
  </si>
  <si>
    <t>Lung</t>
  </si>
  <si>
    <t>"</t>
  </si>
  <si>
    <t>Anka</t>
  </si>
  <si>
    <t>Piles</t>
  </si>
  <si>
    <t>Infection + Slim</t>
  </si>
  <si>
    <t>Slimming + Tea</t>
  </si>
  <si>
    <t>Infection + Tea</t>
  </si>
  <si>
    <t>Lagos, Festac</t>
  </si>
  <si>
    <t>Copper</t>
  </si>
  <si>
    <t>Lagos Estate</t>
  </si>
  <si>
    <t>BP + Tea</t>
  </si>
  <si>
    <t>15/8/2026</t>
  </si>
  <si>
    <t>Aba, Abia State</t>
  </si>
  <si>
    <t>B.p. Tea</t>
  </si>
  <si>
    <t>1 Sachet</t>
  </si>
  <si>
    <t>Prostate Tea</t>
  </si>
  <si>
    <t>09121633167</t>
  </si>
  <si>
    <t>08035619487</t>
  </si>
  <si>
    <t>08037620132</t>
  </si>
  <si>
    <t>08038499525</t>
  </si>
  <si>
    <t>08077490122</t>
  </si>
  <si>
    <t>08140942884</t>
  </si>
  <si>
    <t>08053719072</t>
  </si>
  <si>
    <t>09065620512</t>
  </si>
  <si>
    <t>09064521330</t>
  </si>
  <si>
    <t>Owerri</t>
  </si>
  <si>
    <t>08065839121</t>
  </si>
  <si>
    <t>Ikoyi</t>
  </si>
  <si>
    <t>B.P Tea</t>
  </si>
  <si>
    <t>Tea For Infection</t>
  </si>
  <si>
    <t>Tea For Sugar</t>
  </si>
  <si>
    <t>08035580668</t>
  </si>
  <si>
    <t>08119854427</t>
  </si>
  <si>
    <t>09045753713</t>
  </si>
  <si>
    <t>Yalualua</t>
  </si>
  <si>
    <t>08036679485</t>
  </si>
  <si>
    <t>08035769601</t>
  </si>
  <si>
    <t>Love Tea</t>
  </si>
  <si>
    <t>Total sales</t>
  </si>
  <si>
    <t>Total customers</t>
  </si>
  <si>
    <t>Total orders</t>
  </si>
  <si>
    <t>SALES PERFORMANCE DASHBOARD</t>
  </si>
  <si>
    <t>HIGHEST PERFORMING STATE</t>
  </si>
  <si>
    <t>QUESTIONS</t>
  </si>
  <si>
    <t>State performance according to orders</t>
  </si>
  <si>
    <t>product performance</t>
  </si>
  <si>
    <t xml:space="preserve">state    </t>
  </si>
  <si>
    <t>orders</t>
  </si>
  <si>
    <t>by percentage</t>
  </si>
  <si>
    <t>which state has the highest performance by percentage</t>
  </si>
  <si>
    <t>customer with the highest order</t>
  </si>
  <si>
    <t>top ten customers</t>
  </si>
  <si>
    <t>product with the most sells</t>
  </si>
  <si>
    <t>product performance in states</t>
  </si>
  <si>
    <t xml:space="preserve">Customer </t>
  </si>
  <si>
    <t>Orders</t>
  </si>
  <si>
    <t>FIRST TEN CUSTOMERS</t>
  </si>
  <si>
    <t>1146</t>
  </si>
  <si>
    <t>Customer Id</t>
  </si>
  <si>
    <t>Products performance by states</t>
  </si>
  <si>
    <t>number of rows</t>
  </si>
  <si>
    <t>number of columns</t>
  </si>
  <si>
    <t>Number of States</t>
  </si>
  <si>
    <t>Date range</t>
  </si>
  <si>
    <t>month</t>
  </si>
  <si>
    <t>Names of states</t>
  </si>
  <si>
    <t>Customer Id range</t>
  </si>
  <si>
    <t>june 2026 -august 2026</t>
  </si>
  <si>
    <t>three months data</t>
  </si>
  <si>
    <t>1001-1146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</si>
</sst>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1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20.0"/>
      <color theme="1"/>
      <name val="Arial"/>
    </font>
    <font>
      <b/>
      <color theme="1"/>
      <name val="Arial"/>
    </font>
    <font>
      <b/>
      <sz val="17.0"/>
      <color theme="1"/>
      <name val="Arial"/>
    </font>
    <font/>
    <font>
      <b/>
      <sz val="40.0"/>
      <color theme="1"/>
      <name val="Arial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2" fontId="1" numFmtId="165" xfId="0" applyAlignment="1" applyBorder="1" applyFill="1" applyFont="1" applyNumberForma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49" xfId="0" applyAlignment="1" applyBorder="1" applyFill="1" applyFont="1" applyNumberFormat="1">
      <alignment shrinkToFit="0" vertical="center" wrapText="0"/>
    </xf>
    <xf borderId="0" fillId="0" fontId="1" numFmtId="49" xfId="0" applyFont="1" applyNumberFormat="1"/>
    <xf borderId="0" fillId="0" fontId="1" numFmtId="165" xfId="0" applyFont="1" applyNumberFormat="1"/>
    <xf borderId="0" fillId="0" fontId="3" numFmtId="0" xfId="0" applyAlignment="1" applyFont="1">
      <alignment horizontal="center"/>
    </xf>
    <xf borderId="0" fillId="0" fontId="3" numFmtId="49" xfId="0" applyAlignment="1" applyFont="1" applyNumberFormat="1">
      <alignment horizontal="center"/>
    </xf>
    <xf borderId="0" fillId="0" fontId="1" numFmtId="14" xfId="0" applyFont="1" applyNumberFormat="1"/>
    <xf borderId="0" fillId="0" fontId="4" numFmtId="0" xfId="0" applyAlignment="1" applyFont="1">
      <alignment horizontal="center"/>
    </xf>
    <xf borderId="1" fillId="0" fontId="1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2" fillId="3" fontId="5" numFmtId="0" xfId="0" applyBorder="1" applyFill="1" applyFont="1"/>
    <xf borderId="3" fillId="0" fontId="7" numFmtId="0" xfId="0" applyBorder="1" applyFont="1"/>
    <xf borderId="2" fillId="3" fontId="1" numFmtId="0" xfId="0" applyBorder="1" applyFill="1" applyFont="1"/>
    <xf borderId="2" fillId="3" fontId="8" numFmtId="0" xfId="0" applyBorder="1" applyFill="1" applyFont="1"/>
    <xf borderId="4" fillId="0" fontId="1" numFmtId="0" xfId="0" applyBorder="1" applyFont="1"/>
    <xf borderId="5" fillId="0" fontId="7" numFmtId="0" xfId="0" applyBorder="1" applyFont="1"/>
    <xf borderId="6" fillId="0" fontId="1" numFmtId="0" xfId="0" applyBorder="1" applyFont="1"/>
    <xf borderId="2" fillId="0" fontId="1" numFmtId="0" xfId="0" applyBorder="1" applyFont="1"/>
    <xf borderId="0" fillId="0" fontId="1" numFmtId="10" xfId="0" applyFont="1" applyNumberFormat="1"/>
    <xf borderId="6" fillId="0" fontId="1" numFmtId="10" xfId="0" applyBorder="1" applyFont="1" applyNumberFormat="1"/>
    <xf borderId="1" fillId="0" fontId="1" numFmtId="49" xfId="0" applyBorder="1" applyFont="1" applyNumberFormat="1"/>
    <xf borderId="6" fillId="0" fontId="1" numFmtId="49" xfId="0" applyBorder="1" applyFont="1" applyNumberFormat="1"/>
    <xf borderId="0" fillId="0" fontId="9" numFmtId="0" xfId="0" applyAlignment="1" applyFont="1">
      <alignment horizontal="center" readingOrder="0"/>
    </xf>
    <xf borderId="1" fillId="0" fontId="3" numFmtId="0" xfId="0" applyBorder="1" applyFont="1"/>
    <xf borderId="2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10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ALES REPORT of 3 month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SALES PERFORMANCE BY STATE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06497524752475248"/>
          <c:y val="0.15476190476190474"/>
          <c:w val="0.9125"/>
          <c:h val="0.666057159017370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'ED ANALYSIS'!$L$2:$L$3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'ED ANALYSIS'!$J$4:$J$19</c:f>
            </c:strRef>
          </c:cat>
          <c:val>
            <c:numRef>
              <c:f>'ED ANALYSIS'!$L$4:$L$19</c:f>
              <c:numCache/>
            </c:numRef>
          </c:val>
        </c:ser>
        <c:axId val="2115734304"/>
        <c:axId val="1357907835"/>
      </c:bar3DChart>
      <c:catAx>
        <c:axId val="211573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</a:p>
        </c:txPr>
        <c:crossAx val="1357907835"/>
      </c:catAx>
      <c:valAx>
        <c:axId val="1357907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</a:p>
        </c:txPr>
        <c:crossAx val="211573430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 BEST SELLING PRODUCT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'ED ANALYSIS'!$N$4:$N$46</c:f>
            </c:strRef>
          </c:cat>
          <c:val>
            <c:numRef>
              <c:f>'ED ANALYSIS'!$O$4:$O$46</c:f>
              <c:numCache/>
            </c:numRef>
          </c:val>
        </c:ser>
        <c:axId val="1139864408"/>
        <c:axId val="105270823"/>
      </c:bar3DChart>
      <c:catAx>
        <c:axId val="11398644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</a:p>
        </c:txPr>
        <c:crossAx val="105270823"/>
      </c:catAx>
      <c:valAx>
        <c:axId val="1052708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</a:p>
        </c:txPr>
        <c:crossAx val="113986440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   TOP 10 CUSTOMERS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'ED ANALYSIS'!$H$23:$H$24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'ED ANALYSIS'!$G$25:$G$34</c:f>
            </c:strRef>
          </c:cat>
          <c:val>
            <c:numRef>
              <c:f>'ED ANALYSIS'!$H$25:$H$34</c:f>
              <c:numCache/>
            </c:numRef>
          </c:val>
        </c:ser>
        <c:axId val="1924333429"/>
        <c:axId val="1418639026"/>
      </c:bar3DChart>
      <c:catAx>
        <c:axId val="1924333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Customer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</a:p>
        </c:txPr>
        <c:crossAx val="1418639026"/>
      </c:catAx>
      <c:valAx>
        <c:axId val="1418639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433342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BEST SELLING PRODUCTS BY STATES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24140049140049136"/>
          <c:y val="0.08747300215982722"/>
          <c:w val="0.6099954890970518"/>
          <c:h val="0.855223627053656"/>
        </c:manualLayout>
      </c:layout>
      <c:bar3DChart>
        <c:barDir val="bar"/>
        <c:grouping val="stacked"/>
        <c:ser>
          <c:idx val="0"/>
          <c:order val="0"/>
          <c:tx>
            <c:strRef>
              <c:f>Sheet14!$C$4</c:f>
            </c:strRef>
          </c:tx>
          <c:spPr>
            <a:solidFill>
              <a:srgbClr val="00FFFF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Sheet14!$C$5:$C$48</c:f>
              <c:numCache/>
            </c:numRef>
          </c:val>
        </c:ser>
        <c:ser>
          <c:idx val="1"/>
          <c:order val="1"/>
          <c:tx>
            <c:strRef>
              <c:f>Sheet14!$D$4</c:f>
            </c:strRef>
          </c:tx>
          <c:spPr>
            <a:solidFill>
              <a:srgbClr val="0000FF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Sheet14!$D$5:$D$48</c:f>
              <c:numCache/>
            </c:numRef>
          </c:val>
        </c:ser>
        <c:ser>
          <c:idx val="2"/>
          <c:order val="2"/>
          <c:tx>
            <c:strRef>
              <c:f>Sheet14!$E$4</c:f>
            </c:strRef>
          </c:tx>
          <c:spPr>
            <a:solidFill>
              <a:srgbClr val="E6B8AF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Sheet14!$E$5:$E$48</c:f>
              <c:numCache/>
            </c:numRef>
          </c:val>
        </c:ser>
        <c:ser>
          <c:idx val="3"/>
          <c:order val="3"/>
          <c:tx>
            <c:strRef>
              <c:f>Sheet14!$F$4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Sheet14!$F$5:$F$48</c:f>
              <c:numCache/>
            </c:numRef>
          </c:val>
        </c:ser>
        <c:ser>
          <c:idx val="4"/>
          <c:order val="4"/>
          <c:tx>
            <c:strRef>
              <c:f>Sheet14!$G$4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Sheet14!$G$5:$G$48</c:f>
              <c:numCache/>
            </c:numRef>
          </c:val>
        </c:ser>
        <c:ser>
          <c:idx val="5"/>
          <c:order val="5"/>
          <c:tx>
            <c:strRef>
              <c:f>Sheet14!$H$4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Sheet14!$H$5:$H$48</c:f>
              <c:numCache/>
            </c:numRef>
          </c:val>
        </c:ser>
        <c:ser>
          <c:idx val="6"/>
          <c:order val="6"/>
          <c:tx>
            <c:strRef>
              <c:f>Sheet14!$I$4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Sheet14!$I$5:$I$48</c:f>
              <c:numCache/>
            </c:numRef>
          </c:val>
        </c:ser>
        <c:ser>
          <c:idx val="7"/>
          <c:order val="7"/>
          <c:tx>
            <c:strRef>
              <c:f>Sheet14!$J$4</c:f>
            </c:strRef>
          </c:tx>
          <c:spPr>
            <a:solidFill>
              <a:srgbClr val="EA9999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Sheet14!$J$5:$J$48</c:f>
              <c:numCache/>
            </c:numRef>
          </c:val>
        </c:ser>
        <c:ser>
          <c:idx val="8"/>
          <c:order val="8"/>
          <c:tx>
            <c:strRef>
              <c:f>Sheet14!$K$4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Sheet14!$K$5:$K$48</c:f>
              <c:numCache/>
            </c:numRef>
          </c:val>
        </c:ser>
        <c:ser>
          <c:idx val="9"/>
          <c:order val="9"/>
          <c:tx>
            <c:strRef>
              <c:f>Sheet14!$L$4</c:f>
            </c:strRef>
          </c:tx>
          <c:spPr>
            <a:solidFill>
              <a:srgbClr val="FF00FF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Sheet14!$L$5:$L$48</c:f>
              <c:numCache/>
            </c:numRef>
          </c:val>
        </c:ser>
        <c:ser>
          <c:idx val="10"/>
          <c:order val="10"/>
          <c:tx>
            <c:strRef>
              <c:f>Sheet14!$M$4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Sheet14!$M$5:$M$48</c:f>
              <c:numCache/>
            </c:numRef>
          </c:val>
        </c:ser>
        <c:ser>
          <c:idx val="11"/>
          <c:order val="11"/>
          <c:tx>
            <c:strRef>
              <c:f>Sheet14!$N$4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Sheet14!$N$5:$N$48</c:f>
              <c:numCache/>
            </c:numRef>
          </c:val>
        </c:ser>
        <c:ser>
          <c:idx val="12"/>
          <c:order val="12"/>
          <c:tx>
            <c:strRef>
              <c:f>Sheet14!$O$4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Sheet14!$O$5:$O$48</c:f>
              <c:numCache/>
            </c:numRef>
          </c:val>
        </c:ser>
        <c:ser>
          <c:idx val="13"/>
          <c:order val="13"/>
          <c:tx>
            <c:strRef>
              <c:f>Sheet14!$P$4</c:f>
            </c:strRef>
          </c:tx>
          <c:spPr>
            <a:solidFill>
              <a:srgbClr val="EFEFEF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Sheet14!$P$5:$P$48</c:f>
              <c:numCache/>
            </c:numRef>
          </c:val>
        </c:ser>
        <c:ser>
          <c:idx val="14"/>
          <c:order val="14"/>
          <c:tx>
            <c:strRef>
              <c:f>Sheet14!$Q$4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Sheet14!$Q$5:$Q$48</c:f>
              <c:numCache/>
            </c:numRef>
          </c:val>
        </c:ser>
        <c:ser>
          <c:idx val="15"/>
          <c:order val="15"/>
          <c:tx>
            <c:strRef>
              <c:f>Sheet14!$R$4</c:f>
            </c:strRef>
          </c:tx>
          <c:spPr>
            <a:solidFill>
              <a:srgbClr val="A64D79"/>
            </a:solidFill>
            <a:ln cmpd="sng">
              <a:noFill/>
            </a:ln>
          </c:spPr>
          <c:invertIfNegative val="0"/>
          <c:cat>
            <c:strRef>
              <c:f>Sheet14!$B$5:$B$48</c:f>
            </c:strRef>
          </c:cat>
          <c:val>
            <c:numRef>
              <c:f>Sheet14!$R$5:$R$48</c:f>
              <c:numCache/>
            </c:numRef>
          </c:val>
        </c:ser>
        <c:axId val="761880445"/>
        <c:axId val="2028506197"/>
      </c:bar3DChart>
      <c:catAx>
        <c:axId val="7618804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Arial"/>
              </a:defRPr>
            </a:pPr>
          </a:p>
        </c:txPr>
        <c:crossAx val="2028506197"/>
      </c:catAx>
      <c:valAx>
        <c:axId val="20285061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61880445"/>
        <c:crosses val="max"/>
      </c:valAx>
    </c:plotArea>
    <c:legend>
      <c:legendPos val="r"/>
      <c:legendEntry>
        <c:idx val="7"/>
        <c:txPr>
          <a:bodyPr/>
          <a:lstStyle/>
          <a:p>
            <a:pPr lvl="0">
              <a:defRPr b="1" i="0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1" i="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895350</xdr:colOff>
      <xdr:row>13</xdr:row>
      <xdr:rowOff>161925</xdr:rowOff>
    </xdr:from>
    <xdr:ext cx="3686175" cy="3514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752475</xdr:colOff>
      <xdr:row>13</xdr:row>
      <xdr:rowOff>180975</xdr:rowOff>
    </xdr:from>
    <xdr:ext cx="4000500" cy="3495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895350</xdr:colOff>
      <xdr:row>32</xdr:row>
      <xdr:rowOff>28575</xdr:rowOff>
    </xdr:from>
    <xdr:ext cx="3686175" cy="4410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752475</xdr:colOff>
      <xdr:row>32</xdr:row>
      <xdr:rowOff>28575</xdr:rowOff>
    </xdr:from>
    <xdr:ext cx="4000500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895350</xdr:colOff>
      <xdr:row>9</xdr:row>
      <xdr:rowOff>142875</xdr:rowOff>
    </xdr:from>
    <xdr:ext cx="1885950" cy="1209675"/>
    <xdr:pic>
      <xdr:nvPicPr>
        <xdr:cNvPr id="0" name="image1.png" title="Chart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857250</xdr:colOff>
      <xdr:row>9</xdr:row>
      <xdr:rowOff>142875</xdr:rowOff>
    </xdr:from>
    <xdr:ext cx="1924050" cy="1209675"/>
    <xdr:pic>
      <xdr:nvPicPr>
        <xdr:cNvPr id="0" name="image2.png" title="Chart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857250</xdr:colOff>
      <xdr:row>9</xdr:row>
      <xdr:rowOff>142875</xdr:rowOff>
    </xdr:from>
    <xdr:ext cx="2000250" cy="1209675"/>
    <xdr:pic>
      <xdr:nvPicPr>
        <xdr:cNvPr id="0" name="image3.png" title="Chart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38" displayName="Table1" name="Table1" id="1">
  <tableColumns count="6">
    <tableColumn name="DATE" id="1"/>
    <tableColumn name="Customer ID" id="2"/>
    <tableColumn name="City" id="3"/>
    <tableColumn name="State" id="4"/>
    <tableColumn name="Product" id="5"/>
    <tableColumn name="Quantity" id="6"/>
  </tableColumns>
  <tableStyleInfo name="SALES REPORT of 3 month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8.035019487E9</v>
      </c>
      <c r="B2" s="1" t="s">
        <v>5</v>
      </c>
      <c r="C2" s="1" t="s">
        <v>6</v>
      </c>
      <c r="D2" s="1">
        <v>2.0</v>
      </c>
      <c r="E2" s="1" t="s">
        <v>7</v>
      </c>
    </row>
    <row r="3" ht="15.75" customHeight="1">
      <c r="A3" s="1">
        <v>8.035019487E9</v>
      </c>
      <c r="B3" s="1" t="s">
        <v>5</v>
      </c>
      <c r="C3" s="1" t="s">
        <v>8</v>
      </c>
      <c r="D3" s="1">
        <v>2.0</v>
      </c>
      <c r="E3" s="1" t="s">
        <v>7</v>
      </c>
    </row>
    <row r="4" ht="15.75" customHeight="1">
      <c r="A4" s="1">
        <v>8.035019487E9</v>
      </c>
      <c r="B4" s="1" t="s">
        <v>5</v>
      </c>
      <c r="C4" s="1" t="s">
        <v>9</v>
      </c>
      <c r="D4" s="1">
        <v>2.0</v>
      </c>
      <c r="E4" s="1" t="s">
        <v>7</v>
      </c>
      <c r="H4" s="1" t="s">
        <v>10</v>
      </c>
    </row>
    <row r="5" ht="15.75" customHeight="1">
      <c r="A5" s="1">
        <v>8.065538774E9</v>
      </c>
      <c r="B5" s="1" t="s">
        <v>11</v>
      </c>
      <c r="C5" s="1" t="s">
        <v>12</v>
      </c>
      <c r="D5" s="1">
        <v>1.0</v>
      </c>
      <c r="E5" s="1" t="s">
        <v>7</v>
      </c>
    </row>
    <row r="6" ht="15.75" customHeight="1">
      <c r="A6" s="1">
        <v>8.065538774E9</v>
      </c>
      <c r="B6" s="1" t="s">
        <v>11</v>
      </c>
      <c r="C6" s="1" t="s">
        <v>13</v>
      </c>
      <c r="D6" s="1">
        <v>1.0</v>
      </c>
      <c r="E6" s="1" t="s">
        <v>7</v>
      </c>
    </row>
    <row r="7" ht="15.75" customHeight="1">
      <c r="A7" s="1">
        <v>8.036743639E9</v>
      </c>
      <c r="B7" s="1" t="s">
        <v>14</v>
      </c>
      <c r="C7" s="1" t="s">
        <v>15</v>
      </c>
      <c r="D7" s="1">
        <v>2.0</v>
      </c>
      <c r="E7" s="1" t="s">
        <v>16</v>
      </c>
    </row>
    <row r="8" ht="15.75" customHeight="1">
      <c r="A8" s="1">
        <v>8.036743639E9</v>
      </c>
      <c r="B8" s="1" t="s">
        <v>14</v>
      </c>
      <c r="C8" s="1" t="s">
        <v>17</v>
      </c>
      <c r="D8" s="1">
        <v>1.0</v>
      </c>
      <c r="E8" s="1" t="s">
        <v>16</v>
      </c>
    </row>
    <row r="9" ht="15.75" customHeight="1">
      <c r="A9" s="1">
        <v>8.036743639E9</v>
      </c>
      <c r="B9" s="1" t="s">
        <v>14</v>
      </c>
      <c r="C9" s="1" t="s">
        <v>18</v>
      </c>
      <c r="D9" s="1">
        <v>1.0</v>
      </c>
      <c r="E9" s="1" t="s">
        <v>16</v>
      </c>
    </row>
    <row r="10" ht="15.75" customHeight="1">
      <c r="A10" s="1">
        <v>8.037379461E9</v>
      </c>
      <c r="B10" s="1" t="s">
        <v>19</v>
      </c>
      <c r="C10" s="1" t="s">
        <v>20</v>
      </c>
      <c r="D10" s="1">
        <v>4.0</v>
      </c>
      <c r="E10" s="1" t="s">
        <v>16</v>
      </c>
    </row>
    <row r="11" ht="15.75" customHeight="1">
      <c r="A11" s="1">
        <v>8.140043724E9</v>
      </c>
      <c r="B11" s="1" t="s">
        <v>21</v>
      </c>
      <c r="C11" s="1" t="s">
        <v>6</v>
      </c>
      <c r="D11" s="1">
        <v>1.0</v>
      </c>
      <c r="E11" s="1" t="s">
        <v>22</v>
      </c>
    </row>
    <row r="12" ht="15.75" customHeight="1">
      <c r="A12" s="1">
        <v>7.029964824E9</v>
      </c>
      <c r="B12" s="1" t="s">
        <v>14</v>
      </c>
      <c r="C12" s="1" t="s">
        <v>6</v>
      </c>
      <c r="D12" s="1">
        <v>1.0</v>
      </c>
      <c r="E12" s="1" t="s">
        <v>16</v>
      </c>
    </row>
    <row r="13" ht="15.75" customHeight="1">
      <c r="A13" s="1">
        <v>7.030968451E9</v>
      </c>
      <c r="B13" s="1" t="s">
        <v>23</v>
      </c>
      <c r="C13" s="1" t="s">
        <v>8</v>
      </c>
      <c r="D13" s="1">
        <v>2.0</v>
      </c>
      <c r="E13" s="1" t="s">
        <v>24</v>
      </c>
    </row>
    <row r="14" ht="15.75" customHeight="1">
      <c r="A14" s="1">
        <v>7.030968451E9</v>
      </c>
      <c r="B14" s="1" t="s">
        <v>23</v>
      </c>
      <c r="C14" s="1" t="s">
        <v>25</v>
      </c>
      <c r="D14" s="1">
        <v>2.0</v>
      </c>
      <c r="E14" s="1" t="s">
        <v>24</v>
      </c>
    </row>
    <row r="15" ht="15.75" customHeight="1">
      <c r="A15" s="1">
        <v>7.030968451E9</v>
      </c>
      <c r="B15" s="1" t="s">
        <v>26</v>
      </c>
      <c r="C15" s="1" t="s">
        <v>9</v>
      </c>
      <c r="D15" s="1">
        <v>2.0</v>
      </c>
      <c r="E15" s="1" t="s">
        <v>24</v>
      </c>
    </row>
    <row r="16" ht="15.75" customHeight="1">
      <c r="A16" s="1">
        <v>8.039361062E9</v>
      </c>
      <c r="B16" s="1" t="s">
        <v>27</v>
      </c>
      <c r="C16" s="1" t="s">
        <v>28</v>
      </c>
      <c r="D16" s="1">
        <v>1.0</v>
      </c>
      <c r="E16" s="1" t="s">
        <v>24</v>
      </c>
    </row>
    <row r="17" ht="15.75" customHeight="1">
      <c r="A17" s="1">
        <v>8.039361062E9</v>
      </c>
      <c r="B17" s="1" t="s">
        <v>27</v>
      </c>
      <c r="C17" s="1" t="s">
        <v>8</v>
      </c>
      <c r="D17" s="1">
        <v>1.0</v>
      </c>
      <c r="E17" s="1" t="s">
        <v>24</v>
      </c>
    </row>
    <row r="18" ht="15.75" customHeight="1">
      <c r="A18" s="1">
        <v>8.039361062E9</v>
      </c>
      <c r="B18" s="1" t="s">
        <v>27</v>
      </c>
      <c r="C18" s="1" t="s">
        <v>29</v>
      </c>
      <c r="D18" s="1">
        <v>1.0</v>
      </c>
      <c r="E18" s="1" t="s">
        <v>24</v>
      </c>
    </row>
    <row r="19" ht="15.75" customHeight="1">
      <c r="A19" s="1">
        <v>8.039361062E9</v>
      </c>
      <c r="B19" s="1" t="s">
        <v>27</v>
      </c>
      <c r="C19" s="1" t="s">
        <v>30</v>
      </c>
      <c r="D19" s="1">
        <v>1.0</v>
      </c>
      <c r="E19" s="1" t="s">
        <v>24</v>
      </c>
    </row>
    <row r="20" ht="15.75" customHeight="1">
      <c r="A20" s="1">
        <v>8.039361062E9</v>
      </c>
      <c r="B20" s="1" t="s">
        <v>27</v>
      </c>
      <c r="C20" s="1" t="s">
        <v>31</v>
      </c>
      <c r="D20" s="1">
        <v>1.0</v>
      </c>
      <c r="E20" s="1" t="s">
        <v>24</v>
      </c>
    </row>
    <row r="21" ht="15.75" customHeight="1">
      <c r="A21" s="1">
        <v>8.030453808E9</v>
      </c>
      <c r="B21" s="1" t="s">
        <v>32</v>
      </c>
      <c r="C21" s="1" t="s">
        <v>33</v>
      </c>
      <c r="D21" s="1">
        <v>2.0</v>
      </c>
      <c r="E21" s="1" t="s">
        <v>34</v>
      </c>
    </row>
    <row r="22" ht="15.75" customHeight="1">
      <c r="A22" s="1">
        <v>8.030453808E9</v>
      </c>
      <c r="B22" s="1" t="s">
        <v>32</v>
      </c>
      <c r="C22" s="1" t="s">
        <v>35</v>
      </c>
      <c r="D22" s="1">
        <v>2.0</v>
      </c>
      <c r="E22" s="1" t="s">
        <v>34</v>
      </c>
    </row>
    <row r="23" ht="15.75" customHeight="1">
      <c r="A23" s="1">
        <v>9.020016225E9</v>
      </c>
      <c r="B23" s="1" t="s">
        <v>14</v>
      </c>
      <c r="C23" s="1" t="s">
        <v>12</v>
      </c>
      <c r="D23" s="1">
        <v>1.0</v>
      </c>
      <c r="E23" s="1" t="s">
        <v>34</v>
      </c>
    </row>
    <row r="24" ht="15.75" customHeight="1">
      <c r="A24" s="1">
        <v>9.020016225E9</v>
      </c>
      <c r="B24" s="1" t="s">
        <v>14</v>
      </c>
      <c r="C24" s="1" t="s">
        <v>18</v>
      </c>
      <c r="D24" s="1">
        <v>1.0</v>
      </c>
      <c r="E24" s="1" t="s">
        <v>34</v>
      </c>
    </row>
    <row r="25" ht="15.75" customHeight="1">
      <c r="A25" s="1">
        <v>9.020016225E9</v>
      </c>
      <c r="B25" s="1" t="s">
        <v>14</v>
      </c>
      <c r="C25" s="1" t="s">
        <v>36</v>
      </c>
      <c r="D25" s="1">
        <v>1.0</v>
      </c>
      <c r="E25" s="1" t="s">
        <v>34</v>
      </c>
    </row>
    <row r="26" ht="15.75" customHeight="1">
      <c r="A26" s="1">
        <v>8.161725902E9</v>
      </c>
      <c r="B26" s="1" t="s">
        <v>14</v>
      </c>
      <c r="C26" s="1" t="s">
        <v>28</v>
      </c>
      <c r="D26" s="1">
        <v>1.0</v>
      </c>
      <c r="E26" s="2">
        <v>46029.0</v>
      </c>
    </row>
    <row r="27" ht="15.75" customHeight="1">
      <c r="A27" s="1">
        <v>8.068797832E9</v>
      </c>
      <c r="B27" s="1" t="s">
        <v>5</v>
      </c>
      <c r="C27" s="1" t="s">
        <v>30</v>
      </c>
      <c r="D27" s="1">
        <v>1.0</v>
      </c>
      <c r="E27" s="2">
        <v>46029.0</v>
      </c>
    </row>
    <row r="28" ht="15.75" customHeight="1">
      <c r="A28" s="1">
        <v>8.068797832E9</v>
      </c>
      <c r="B28" s="1" t="s">
        <v>5</v>
      </c>
      <c r="C28" s="1" t="s">
        <v>37</v>
      </c>
      <c r="D28" s="1">
        <v>1.0</v>
      </c>
      <c r="E28" s="2">
        <v>46029.0</v>
      </c>
    </row>
    <row r="29" ht="15.75" customHeight="1">
      <c r="A29" s="1">
        <v>7.069202677E9</v>
      </c>
      <c r="B29" s="1" t="s">
        <v>38</v>
      </c>
      <c r="C29" s="1" t="s">
        <v>30</v>
      </c>
      <c r="D29" s="1">
        <v>1.0</v>
      </c>
      <c r="E29" s="2">
        <v>46029.0</v>
      </c>
    </row>
    <row r="30" ht="15.75" customHeight="1">
      <c r="A30" s="1">
        <v>7.069202677E9</v>
      </c>
      <c r="B30" s="1" t="s">
        <v>38</v>
      </c>
      <c r="C30" s="1" t="s">
        <v>28</v>
      </c>
      <c r="D30" s="1">
        <v>1.0</v>
      </c>
      <c r="E30" s="2">
        <v>46029.0</v>
      </c>
    </row>
    <row r="31" ht="15.75" customHeight="1">
      <c r="A31" s="1">
        <v>8.037815531E9</v>
      </c>
      <c r="B31" s="1" t="s">
        <v>39</v>
      </c>
      <c r="C31" s="1" t="s">
        <v>30</v>
      </c>
      <c r="D31" s="1">
        <v>1.0</v>
      </c>
      <c r="E31" s="2">
        <v>46060.0</v>
      </c>
    </row>
    <row r="32" ht="15.75" customHeight="1">
      <c r="A32" s="1">
        <v>8.037432361E9</v>
      </c>
      <c r="B32" s="1" t="s">
        <v>40</v>
      </c>
      <c r="C32" s="1" t="s">
        <v>41</v>
      </c>
      <c r="D32" s="1">
        <v>1.0</v>
      </c>
      <c r="E32" s="2">
        <v>46060.0</v>
      </c>
    </row>
    <row r="33" ht="15.75" customHeight="1">
      <c r="A33" s="1">
        <v>8.037432361E9</v>
      </c>
      <c r="B33" s="1" t="s">
        <v>42</v>
      </c>
      <c r="C33" s="1" t="s">
        <v>43</v>
      </c>
      <c r="D33" s="1">
        <v>1.0</v>
      </c>
      <c r="E33" s="2">
        <v>46060.0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8.037433367E9</v>
      </c>
      <c r="B2" s="1" t="s">
        <v>44</v>
      </c>
      <c r="C2" s="1" t="s">
        <v>33</v>
      </c>
      <c r="D2" s="1">
        <v>1.0</v>
      </c>
      <c r="E2" s="2">
        <v>46060.0</v>
      </c>
    </row>
    <row r="3" ht="15.75" customHeight="1">
      <c r="A3" s="1">
        <v>8.03365247158E11</v>
      </c>
      <c r="B3" s="1" t="s">
        <v>45</v>
      </c>
      <c r="C3" s="1" t="s">
        <v>46</v>
      </c>
      <c r="D3" s="1">
        <v>4.0</v>
      </c>
      <c r="E3" s="2">
        <v>46088.0</v>
      </c>
    </row>
    <row r="4" ht="15.75" customHeight="1">
      <c r="A4" s="1" t="s">
        <v>47</v>
      </c>
      <c r="B4" s="1" t="s">
        <v>45</v>
      </c>
      <c r="C4" s="1" t="s">
        <v>36</v>
      </c>
      <c r="D4" s="1">
        <v>4.0</v>
      </c>
      <c r="E4" s="2">
        <v>46088.0</v>
      </c>
    </row>
    <row r="5" ht="15.75" customHeight="1">
      <c r="A5" s="1" t="s">
        <v>47</v>
      </c>
      <c r="B5" s="1" t="s">
        <v>45</v>
      </c>
      <c r="C5" s="1" t="s">
        <v>48</v>
      </c>
      <c r="D5" s="1">
        <v>1.0</v>
      </c>
      <c r="E5" s="2">
        <v>46088.0</v>
      </c>
    </row>
    <row r="6" ht="15.75" customHeight="1">
      <c r="A6" s="1">
        <v>8.067155115E9</v>
      </c>
      <c r="B6" s="1" t="s">
        <v>49</v>
      </c>
      <c r="C6" s="1" t="s">
        <v>50</v>
      </c>
      <c r="D6" s="1">
        <v>3.0</v>
      </c>
      <c r="E6" s="2">
        <v>46088.0</v>
      </c>
    </row>
    <row r="7" ht="15.75" customHeight="1">
      <c r="A7" s="1">
        <v>8.069155175E9</v>
      </c>
      <c r="B7" s="1" t="s">
        <v>38</v>
      </c>
      <c r="C7" s="1" t="s">
        <v>51</v>
      </c>
      <c r="D7" s="1">
        <v>1.0</v>
      </c>
      <c r="E7" s="2">
        <v>46088.0</v>
      </c>
    </row>
    <row r="8" ht="15.75" customHeight="1">
      <c r="A8" s="1">
        <v>8.063637793E9</v>
      </c>
      <c r="B8" s="1" t="s">
        <v>52</v>
      </c>
      <c r="C8" s="1" t="s">
        <v>8</v>
      </c>
      <c r="D8" s="1">
        <v>2.0</v>
      </c>
      <c r="E8" s="2">
        <v>46180.0</v>
      </c>
    </row>
    <row r="9" ht="15.75" customHeight="1">
      <c r="B9" s="1" t="s">
        <v>52</v>
      </c>
      <c r="C9" s="1" t="s">
        <v>36</v>
      </c>
      <c r="D9" s="1">
        <v>2.0</v>
      </c>
      <c r="E9" s="2">
        <v>46180.0</v>
      </c>
    </row>
    <row r="10" ht="15.75" customHeight="1">
      <c r="A10" s="1">
        <v>7.0331298913E10</v>
      </c>
      <c r="B10" s="1" t="s">
        <v>38</v>
      </c>
      <c r="C10" s="1" t="s">
        <v>53</v>
      </c>
      <c r="D10" s="1">
        <v>1.0</v>
      </c>
      <c r="E10" s="2">
        <v>46180.0</v>
      </c>
    </row>
    <row r="11" ht="15.75" customHeight="1">
      <c r="A11" s="1">
        <v>7.033129893E9</v>
      </c>
      <c r="B11" s="1" t="s">
        <v>38</v>
      </c>
      <c r="C11" s="1" t="s">
        <v>8</v>
      </c>
      <c r="D11" s="1">
        <v>1.0</v>
      </c>
      <c r="E11" s="2">
        <v>46180.0</v>
      </c>
    </row>
    <row r="12" ht="15.75" customHeight="1">
      <c r="A12" s="1">
        <v>8.05598744E9</v>
      </c>
      <c r="B12" s="1" t="s">
        <v>14</v>
      </c>
      <c r="C12" s="1" t="s">
        <v>37</v>
      </c>
      <c r="D12" s="1">
        <v>1.0</v>
      </c>
      <c r="E12" s="2">
        <v>46180.0</v>
      </c>
    </row>
    <row r="13" ht="15.75" customHeight="1">
      <c r="A13" s="1">
        <v>8.105593152E9</v>
      </c>
      <c r="B13" s="1" t="s">
        <v>14</v>
      </c>
      <c r="C13" s="1" t="s">
        <v>30</v>
      </c>
      <c r="D13" s="1">
        <v>1.0</v>
      </c>
      <c r="E13" s="2">
        <v>46180.0</v>
      </c>
    </row>
    <row r="14" ht="15.75" customHeight="1">
      <c r="B14" s="1" t="s">
        <v>54</v>
      </c>
      <c r="C14" s="1" t="s">
        <v>8</v>
      </c>
      <c r="D14" s="1">
        <v>1.0</v>
      </c>
      <c r="E14" s="2">
        <v>46180.0</v>
      </c>
    </row>
    <row r="15" ht="15.75" customHeight="1">
      <c r="B15" s="1" t="s">
        <v>54</v>
      </c>
      <c r="C15" s="1" t="s">
        <v>9</v>
      </c>
      <c r="D15" s="1">
        <v>2.0</v>
      </c>
      <c r="E15" s="2">
        <v>46180.0</v>
      </c>
    </row>
    <row r="16" ht="15.75" customHeight="1">
      <c r="B16" s="1" t="s">
        <v>38</v>
      </c>
      <c r="C16" s="1" t="s">
        <v>55</v>
      </c>
      <c r="D16" s="1">
        <v>1.0</v>
      </c>
      <c r="E16" s="2">
        <v>46180.0</v>
      </c>
    </row>
    <row r="17" ht="15.75" customHeight="1">
      <c r="B17" s="1" t="s">
        <v>38</v>
      </c>
      <c r="C17" s="1" t="s">
        <v>56</v>
      </c>
      <c r="D17" s="1">
        <v>1.0</v>
      </c>
      <c r="E17" s="2">
        <v>46180.0</v>
      </c>
    </row>
    <row r="18" ht="15.75" customHeight="1">
      <c r="B18" s="1" t="s">
        <v>38</v>
      </c>
      <c r="C18" s="1" t="s">
        <v>46</v>
      </c>
      <c r="D18" s="1">
        <v>1.0</v>
      </c>
      <c r="E18" s="2">
        <v>46180.0</v>
      </c>
    </row>
    <row r="19" ht="15.75" customHeight="1">
      <c r="A19" s="1">
        <v>2.034731166E9</v>
      </c>
      <c r="B19" s="1" t="s">
        <v>14</v>
      </c>
      <c r="C19" s="1" t="s">
        <v>57</v>
      </c>
      <c r="D19" s="1">
        <v>2.0</v>
      </c>
      <c r="E19" s="2">
        <v>46210.0</v>
      </c>
    </row>
    <row r="20" ht="15.75" customHeight="1">
      <c r="A20" s="1">
        <v>8.03258795E9</v>
      </c>
      <c r="B20" s="1" t="s">
        <v>58</v>
      </c>
      <c r="C20" s="1" t="s">
        <v>57</v>
      </c>
      <c r="D20" s="1">
        <v>1.0</v>
      </c>
      <c r="E20" s="2">
        <v>46210.0</v>
      </c>
    </row>
    <row r="21" ht="15.75" customHeight="1">
      <c r="A21" s="1">
        <v>8.060681137E9</v>
      </c>
      <c r="B21" s="1" t="s">
        <v>38</v>
      </c>
      <c r="C21" s="1" t="s">
        <v>9</v>
      </c>
      <c r="D21" s="1">
        <v>1.0</v>
      </c>
      <c r="E21" s="2">
        <v>46210.0</v>
      </c>
    </row>
    <row r="22" ht="15.75" customHeight="1">
      <c r="A22" s="1">
        <v>8.141362251E9</v>
      </c>
      <c r="B22" s="1" t="s">
        <v>59</v>
      </c>
      <c r="C22" s="1" t="s">
        <v>48</v>
      </c>
      <c r="D22" s="1">
        <v>1.0</v>
      </c>
      <c r="E22" s="2">
        <v>46210.0</v>
      </c>
    </row>
    <row r="23" ht="15.75" customHeight="1">
      <c r="A23" s="1">
        <v>8037.0</v>
      </c>
      <c r="B23" s="1" t="s">
        <v>54</v>
      </c>
      <c r="C23" s="1" t="s">
        <v>43</v>
      </c>
      <c r="D23" s="1">
        <v>1.0</v>
      </c>
      <c r="E23" s="2">
        <v>46210.0</v>
      </c>
    </row>
    <row r="24" ht="15.75" customHeight="1">
      <c r="B24" s="1" t="s">
        <v>60</v>
      </c>
      <c r="C24" s="1" t="s">
        <v>43</v>
      </c>
      <c r="D24" s="1">
        <v>1.0</v>
      </c>
      <c r="E24" s="2">
        <v>46210.0</v>
      </c>
    </row>
    <row r="25" ht="15.75" customHeight="1">
      <c r="A25" s="1">
        <v>8.069155175E9</v>
      </c>
      <c r="B25" s="1" t="s">
        <v>14</v>
      </c>
      <c r="C25" s="1" t="s">
        <v>50</v>
      </c>
      <c r="D25" s="1">
        <v>1.0</v>
      </c>
      <c r="E25" s="2">
        <v>46210.0</v>
      </c>
    </row>
    <row r="26" ht="15.75" customHeight="1">
      <c r="A26" s="1">
        <v>8.069155175E9</v>
      </c>
      <c r="B26" s="1" t="s">
        <v>14</v>
      </c>
      <c r="C26" s="1" t="s">
        <v>61</v>
      </c>
      <c r="D26" s="1">
        <v>1.0</v>
      </c>
      <c r="E26" s="2">
        <v>46210.0</v>
      </c>
    </row>
    <row r="27" ht="15.75" customHeight="1">
      <c r="A27" s="1">
        <v>7.04458442E8</v>
      </c>
      <c r="B27" s="1" t="s">
        <v>62</v>
      </c>
      <c r="C27" s="1" t="s">
        <v>63</v>
      </c>
      <c r="D27" s="1">
        <v>1.0</v>
      </c>
      <c r="E27" s="2">
        <v>46210.0</v>
      </c>
    </row>
    <row r="28" ht="15.75" customHeight="1">
      <c r="A28" s="1">
        <v>7.04481771E9</v>
      </c>
      <c r="B28" s="1" t="s">
        <v>64</v>
      </c>
      <c r="C28" s="1" t="s">
        <v>57</v>
      </c>
      <c r="D28" s="1">
        <v>1.0</v>
      </c>
      <c r="E28" s="2">
        <v>46241.0</v>
      </c>
    </row>
    <row r="29" ht="15.75" customHeight="1">
      <c r="A29" s="1">
        <v>8.034047224E9</v>
      </c>
      <c r="B29" s="1" t="s">
        <v>14</v>
      </c>
      <c r="C29" s="1" t="s">
        <v>65</v>
      </c>
      <c r="D29" s="1">
        <v>1.0</v>
      </c>
      <c r="E29" s="2">
        <v>46241.0</v>
      </c>
    </row>
    <row r="30" ht="15.75" customHeight="1">
      <c r="A30" s="1">
        <v>9.169449197E9</v>
      </c>
      <c r="B30" s="1" t="s">
        <v>66</v>
      </c>
      <c r="C30" s="1" t="s">
        <v>65</v>
      </c>
      <c r="D30" s="1">
        <v>1.0</v>
      </c>
      <c r="E30" s="2">
        <v>46241.0</v>
      </c>
    </row>
    <row r="31" ht="15.75" customHeight="1">
      <c r="A31" s="1">
        <v>8.063002287E9</v>
      </c>
      <c r="B31" s="1" t="s">
        <v>64</v>
      </c>
      <c r="C31" s="1" t="s">
        <v>67</v>
      </c>
      <c r="D31" s="1">
        <v>3.0</v>
      </c>
      <c r="E31" s="2">
        <v>46241.0</v>
      </c>
    </row>
    <row r="32" ht="15.75" customHeight="1">
      <c r="A32" s="1">
        <v>8.063002287E9</v>
      </c>
      <c r="B32" s="1" t="s">
        <v>64</v>
      </c>
      <c r="C32" s="1" t="s">
        <v>68</v>
      </c>
      <c r="D32" s="1">
        <v>2.0</v>
      </c>
      <c r="E32" s="2">
        <v>46241.0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5.75"/>
  </cols>
  <sheetData>
    <row r="1" ht="15.75" customHeight="1">
      <c r="A1" s="1" t="s">
        <v>0</v>
      </c>
      <c r="B1" s="1" t="s">
        <v>1</v>
      </c>
      <c r="C1" s="1" t="s">
        <v>69</v>
      </c>
      <c r="D1" s="1" t="s">
        <v>70</v>
      </c>
      <c r="E1" s="1" t="s">
        <v>71</v>
      </c>
    </row>
    <row r="2" ht="15.75" customHeight="1">
      <c r="A2" s="1">
        <v>9.030910073E9</v>
      </c>
      <c r="B2" s="1" t="s">
        <v>38</v>
      </c>
      <c r="C2" s="1" t="s">
        <v>72</v>
      </c>
      <c r="D2" s="1">
        <v>1.0</v>
      </c>
      <c r="E2" s="2">
        <v>46303.0</v>
      </c>
    </row>
    <row r="3" ht="15.75" customHeight="1">
      <c r="A3" s="1">
        <v>9.030910073E9</v>
      </c>
      <c r="B3" s="1" t="s">
        <v>38</v>
      </c>
      <c r="C3" s="1" t="s">
        <v>36</v>
      </c>
      <c r="D3" s="1">
        <v>1.0</v>
      </c>
      <c r="E3" s="2">
        <v>46303.0</v>
      </c>
    </row>
    <row r="4" ht="15.75" customHeight="1">
      <c r="A4" s="1">
        <v>7.024852183E9</v>
      </c>
      <c r="B4" s="1" t="s">
        <v>59</v>
      </c>
      <c r="C4" s="1" t="s">
        <v>73</v>
      </c>
      <c r="D4" s="1">
        <v>1.0</v>
      </c>
      <c r="E4" s="2">
        <v>46303.0</v>
      </c>
    </row>
    <row r="5" ht="15.75" customHeight="1">
      <c r="A5" s="1">
        <v>7.039450433E9</v>
      </c>
      <c r="B5" s="1" t="s">
        <v>38</v>
      </c>
      <c r="C5" s="1" t="s">
        <v>43</v>
      </c>
      <c r="D5" s="1">
        <v>2.0</v>
      </c>
      <c r="E5" s="2">
        <v>46334.0</v>
      </c>
    </row>
    <row r="6" ht="15.75" customHeight="1">
      <c r="B6" s="1" t="s">
        <v>74</v>
      </c>
      <c r="C6" s="1" t="s">
        <v>75</v>
      </c>
      <c r="D6" s="1">
        <v>1.0</v>
      </c>
      <c r="E6" s="2">
        <v>46334.0</v>
      </c>
    </row>
    <row r="7" ht="15.75" customHeight="1">
      <c r="B7" s="1" t="s">
        <v>74</v>
      </c>
      <c r="C7" s="1" t="s">
        <v>76</v>
      </c>
      <c r="D7" s="1">
        <v>2.0</v>
      </c>
      <c r="E7" s="2">
        <v>46334.0</v>
      </c>
    </row>
    <row r="8" ht="15.75" customHeight="1">
      <c r="A8" s="1">
        <v>8.024213214E9</v>
      </c>
      <c r="B8" s="1" t="s">
        <v>77</v>
      </c>
      <c r="C8" s="1" t="s">
        <v>76</v>
      </c>
      <c r="D8" s="1">
        <v>2.0</v>
      </c>
      <c r="E8" s="2">
        <v>46334.0</v>
      </c>
    </row>
    <row r="9" ht="15.75" customHeight="1">
      <c r="A9" s="1">
        <v>8.163854758E9</v>
      </c>
      <c r="B9" s="1" t="s">
        <v>52</v>
      </c>
      <c r="C9" s="1" t="s">
        <v>37</v>
      </c>
      <c r="D9" s="1">
        <v>1.0</v>
      </c>
      <c r="E9" s="2">
        <v>46364.0</v>
      </c>
    </row>
    <row r="10" ht="15.75" customHeight="1">
      <c r="A10" s="1">
        <v>8.06167205E9</v>
      </c>
      <c r="B10" s="1" t="s">
        <v>74</v>
      </c>
      <c r="C10" s="1" t="s">
        <v>20</v>
      </c>
      <c r="D10" s="1">
        <v>1.0</v>
      </c>
      <c r="E10" s="2">
        <v>46364.0</v>
      </c>
    </row>
    <row r="11" ht="15.75" customHeight="1">
      <c r="A11" s="1">
        <v>8.163854758E9</v>
      </c>
      <c r="B11" s="1" t="s">
        <v>52</v>
      </c>
      <c r="C11" s="1" t="s">
        <v>72</v>
      </c>
      <c r="D11" s="1">
        <v>1.0</v>
      </c>
      <c r="E11" s="2">
        <v>46364.0</v>
      </c>
    </row>
    <row r="12" ht="15.75" customHeight="1">
      <c r="A12" s="1">
        <v>8.163854758E9</v>
      </c>
      <c r="B12" s="1" t="s">
        <v>52</v>
      </c>
      <c r="C12" s="1" t="s">
        <v>78</v>
      </c>
      <c r="D12" s="1">
        <v>1.0</v>
      </c>
      <c r="E12" s="2">
        <v>46364.0</v>
      </c>
    </row>
    <row r="13" ht="15.75" customHeight="1">
      <c r="A13" s="1">
        <v>7.080910093E9</v>
      </c>
      <c r="B13" s="1" t="s">
        <v>38</v>
      </c>
      <c r="C13" s="1" t="s">
        <v>79</v>
      </c>
      <c r="D13" s="1">
        <v>1.0</v>
      </c>
      <c r="E13" s="2">
        <v>46364.0</v>
      </c>
    </row>
    <row r="14" ht="15.75" customHeight="1">
      <c r="A14" s="1">
        <v>7.030910073E9</v>
      </c>
      <c r="B14" s="1" t="s">
        <v>38</v>
      </c>
      <c r="C14" s="1" t="s">
        <v>80</v>
      </c>
      <c r="D14" s="1">
        <v>1.0</v>
      </c>
      <c r="E14" s="2">
        <v>46364.0</v>
      </c>
    </row>
    <row r="15" ht="15.75" customHeight="1">
      <c r="A15" s="1">
        <v>7.036363534E9</v>
      </c>
      <c r="B15" s="1" t="s">
        <v>81</v>
      </c>
      <c r="C15" s="1" t="s">
        <v>82</v>
      </c>
      <c r="D15" s="1">
        <v>1.0</v>
      </c>
      <c r="E15" s="2">
        <v>46364.0</v>
      </c>
    </row>
    <row r="16" ht="15.75" customHeight="1">
      <c r="A16" s="1">
        <v>8.032151901E9</v>
      </c>
      <c r="B16" s="1" t="s">
        <v>83</v>
      </c>
      <c r="C16" s="1" t="s">
        <v>84</v>
      </c>
      <c r="D16" s="1">
        <v>1.0</v>
      </c>
      <c r="E16" s="2">
        <v>46364.0</v>
      </c>
    </row>
    <row r="17" ht="15.75" customHeight="1">
      <c r="A17" s="1">
        <v>8.032151901E9</v>
      </c>
      <c r="B17" s="1" t="s">
        <v>83</v>
      </c>
      <c r="C17" s="1" t="s">
        <v>79</v>
      </c>
      <c r="D17" s="1">
        <v>1.0</v>
      </c>
      <c r="E17" s="1" t="s">
        <v>85</v>
      </c>
    </row>
    <row r="18" ht="15.75" customHeight="1">
      <c r="A18" s="1">
        <v>8.03251901E8</v>
      </c>
      <c r="B18" s="1" t="s">
        <v>83</v>
      </c>
      <c r="C18" s="1" t="s">
        <v>46</v>
      </c>
      <c r="D18" s="1">
        <v>1.0</v>
      </c>
      <c r="E18" s="1" t="s">
        <v>85</v>
      </c>
    </row>
    <row r="19" ht="15.75" customHeight="1">
      <c r="C19" s="1" t="s">
        <v>48</v>
      </c>
      <c r="D19" s="1">
        <v>1.0</v>
      </c>
      <c r="E19" s="1" t="s">
        <v>85</v>
      </c>
    </row>
    <row r="20" ht="15.75" customHeight="1">
      <c r="A20" s="1">
        <v>9.054606524E9</v>
      </c>
      <c r="B20" s="1" t="s">
        <v>86</v>
      </c>
      <c r="C20" s="1" t="s">
        <v>80</v>
      </c>
      <c r="D20" s="1">
        <v>2.0</v>
      </c>
      <c r="E20" s="1" t="s">
        <v>87</v>
      </c>
    </row>
    <row r="21" ht="15.75" customHeight="1">
      <c r="A21" s="1">
        <v>8.065538714E9</v>
      </c>
      <c r="B21" s="1" t="s">
        <v>88</v>
      </c>
      <c r="C21" s="1" t="s">
        <v>89</v>
      </c>
      <c r="D21" s="1">
        <v>2.0</v>
      </c>
      <c r="E21" s="1" t="s">
        <v>87</v>
      </c>
    </row>
    <row r="22" ht="15.75" customHeight="1">
      <c r="A22" s="1">
        <v>8.033258175E9</v>
      </c>
      <c r="B22" s="1" t="s">
        <v>90</v>
      </c>
      <c r="C22" s="1" t="s">
        <v>68</v>
      </c>
      <c r="D22" s="1">
        <v>1.0</v>
      </c>
      <c r="E22" s="1" t="s">
        <v>87</v>
      </c>
    </row>
    <row r="23" ht="15.75" customHeight="1">
      <c r="A23" s="1">
        <v>8.163854758E9</v>
      </c>
      <c r="B23" s="1" t="s">
        <v>91</v>
      </c>
      <c r="C23" s="1" t="s">
        <v>9</v>
      </c>
      <c r="D23" s="1" t="s">
        <v>92</v>
      </c>
      <c r="E23" s="1" t="s">
        <v>93</v>
      </c>
    </row>
    <row r="24" ht="15.75" customHeight="1">
      <c r="A24" s="1">
        <v>9.165854758E9</v>
      </c>
      <c r="C24" s="1" t="s">
        <v>68</v>
      </c>
      <c r="D24" s="1" t="s">
        <v>92</v>
      </c>
      <c r="E24" s="1" t="s">
        <v>93</v>
      </c>
    </row>
    <row r="25" ht="15.75" customHeight="1">
      <c r="C25" s="1" t="s">
        <v>94</v>
      </c>
      <c r="D25" s="1" t="s">
        <v>92</v>
      </c>
      <c r="E25" s="1" t="s">
        <v>93</v>
      </c>
    </row>
    <row r="26" ht="15.75" customHeight="1">
      <c r="A26" s="1">
        <v>9.034606524E9</v>
      </c>
      <c r="B26" s="1" t="s">
        <v>86</v>
      </c>
      <c r="C26" s="1" t="s">
        <v>80</v>
      </c>
      <c r="D26" s="1" t="s">
        <v>92</v>
      </c>
      <c r="E26" s="1" t="s">
        <v>95</v>
      </c>
    </row>
    <row r="27" ht="15.75" customHeight="1">
      <c r="C27" s="1" t="s">
        <v>18</v>
      </c>
      <c r="D27" s="1" t="s">
        <v>96</v>
      </c>
      <c r="E27" s="1" t="s">
        <v>95</v>
      </c>
    </row>
    <row r="28" ht="15.75" customHeight="1">
      <c r="C28" s="1" t="s">
        <v>97</v>
      </c>
      <c r="D28" s="1" t="s">
        <v>92</v>
      </c>
      <c r="E28" s="1" t="s">
        <v>95</v>
      </c>
    </row>
    <row r="29" ht="15.75" customHeight="1">
      <c r="A29" s="1">
        <v>8.033218819E9</v>
      </c>
      <c r="B29" s="1" t="s">
        <v>59</v>
      </c>
      <c r="C29" s="1" t="s">
        <v>98</v>
      </c>
      <c r="D29" s="1" t="s">
        <v>92</v>
      </c>
      <c r="E29" s="1" t="s">
        <v>95</v>
      </c>
    </row>
    <row r="30" ht="15.75" customHeight="1">
      <c r="C30" s="1" t="s">
        <v>89</v>
      </c>
      <c r="D30" s="1" t="s">
        <v>92</v>
      </c>
      <c r="E30" s="1" t="s">
        <v>95</v>
      </c>
    </row>
    <row r="31" ht="15.75" customHeight="1">
      <c r="C31" s="1" t="s">
        <v>68</v>
      </c>
      <c r="D31" s="1" t="s">
        <v>92</v>
      </c>
      <c r="E31" s="1" t="s">
        <v>95</v>
      </c>
    </row>
    <row r="32" ht="15.75" customHeight="1">
      <c r="A32" s="1">
        <v>8.163005469E9</v>
      </c>
      <c r="B32" s="1" t="s">
        <v>59</v>
      </c>
      <c r="C32" s="1" t="s">
        <v>99</v>
      </c>
      <c r="D32" s="1" t="s">
        <v>96</v>
      </c>
      <c r="E32" s="1" t="s">
        <v>95</v>
      </c>
    </row>
    <row r="33" ht="15.75" customHeight="1">
      <c r="A33" s="1">
        <v>8.06495955E8</v>
      </c>
      <c r="B33" s="1" t="s">
        <v>100</v>
      </c>
      <c r="C33" s="1" t="s">
        <v>101</v>
      </c>
      <c r="D33" s="1" t="s">
        <v>92</v>
      </c>
      <c r="E33" s="1" t="s">
        <v>95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4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102</v>
      </c>
      <c r="B2" s="1" t="s">
        <v>103</v>
      </c>
      <c r="C2" s="1" t="s">
        <v>9</v>
      </c>
      <c r="D2" s="1">
        <v>2.0</v>
      </c>
      <c r="E2" s="1" t="s">
        <v>104</v>
      </c>
    </row>
    <row r="3" ht="15.75" customHeight="1">
      <c r="B3" s="1" t="s">
        <v>103</v>
      </c>
      <c r="C3" s="1" t="s">
        <v>105</v>
      </c>
      <c r="D3" s="1">
        <v>1.0</v>
      </c>
      <c r="E3" s="1" t="s">
        <v>104</v>
      </c>
    </row>
    <row r="4" ht="15.75" customHeight="1">
      <c r="B4" s="1" t="s">
        <v>106</v>
      </c>
      <c r="C4" s="1" t="s">
        <v>6</v>
      </c>
      <c r="D4" s="1">
        <v>2.0</v>
      </c>
      <c r="E4" s="1" t="s">
        <v>104</v>
      </c>
    </row>
    <row r="5" ht="15.75" customHeight="1">
      <c r="C5" s="1" t="s">
        <v>107</v>
      </c>
      <c r="D5" s="1">
        <v>1.0</v>
      </c>
      <c r="E5" s="1" t="s">
        <v>104</v>
      </c>
    </row>
    <row r="6" ht="15.75" customHeight="1">
      <c r="A6" s="1">
        <v>8.146868132E9</v>
      </c>
      <c r="B6" s="1" t="s">
        <v>108</v>
      </c>
      <c r="C6" s="1" t="s">
        <v>109</v>
      </c>
      <c r="D6" s="1">
        <v>1.0</v>
      </c>
      <c r="E6" s="1" t="s">
        <v>104</v>
      </c>
    </row>
    <row r="7" ht="15.75" customHeight="1">
      <c r="A7" s="1">
        <v>9.1163472705E10</v>
      </c>
      <c r="B7" s="1" t="s">
        <v>74</v>
      </c>
      <c r="C7" s="1" t="s">
        <v>110</v>
      </c>
      <c r="D7" s="1">
        <v>1.0</v>
      </c>
      <c r="E7" s="1" t="s">
        <v>111</v>
      </c>
    </row>
    <row r="8" ht="15.75" customHeight="1">
      <c r="A8" s="1">
        <v>7.063472705E9</v>
      </c>
      <c r="B8" s="1" t="s">
        <v>74</v>
      </c>
      <c r="C8" s="1" t="s">
        <v>8</v>
      </c>
      <c r="D8" s="1">
        <v>1.0</v>
      </c>
      <c r="E8" s="1" t="s">
        <v>111</v>
      </c>
    </row>
    <row r="9" ht="15.75" customHeight="1">
      <c r="A9" s="1">
        <v>9.1163472705E10</v>
      </c>
      <c r="B9" s="1" t="s">
        <v>74</v>
      </c>
      <c r="C9" s="1" t="s">
        <v>28</v>
      </c>
      <c r="D9" s="1">
        <v>1.0</v>
      </c>
      <c r="E9" s="1" t="s">
        <v>111</v>
      </c>
    </row>
    <row r="10" ht="15.75" customHeight="1">
      <c r="A10" s="1">
        <v>8.032220343E9</v>
      </c>
      <c r="B10" s="1" t="s">
        <v>5</v>
      </c>
      <c r="C10" s="1" t="s">
        <v>112</v>
      </c>
      <c r="D10" s="1">
        <v>1.0</v>
      </c>
      <c r="E10" s="1" t="s">
        <v>111</v>
      </c>
    </row>
    <row r="11" ht="15.75" customHeight="1">
      <c r="A11" s="1">
        <v>7.060543708E9</v>
      </c>
      <c r="B11" s="1" t="s">
        <v>38</v>
      </c>
      <c r="C11" s="1" t="s">
        <v>37</v>
      </c>
      <c r="D11" s="1">
        <v>1.0</v>
      </c>
      <c r="E11" s="1" t="s">
        <v>111</v>
      </c>
    </row>
    <row r="12" ht="15.75" customHeight="1">
      <c r="A12" s="1">
        <v>7.060543708E9</v>
      </c>
      <c r="B12" s="1" t="s">
        <v>38</v>
      </c>
      <c r="C12" s="1" t="s">
        <v>113</v>
      </c>
      <c r="D12" s="1">
        <v>1.0</v>
      </c>
      <c r="E12" s="1" t="s">
        <v>111</v>
      </c>
    </row>
    <row r="13" ht="15.75" customHeight="1">
      <c r="A13" s="1">
        <v>9.032534163E9</v>
      </c>
      <c r="B13" s="1" t="s">
        <v>114</v>
      </c>
      <c r="C13" s="1" t="s">
        <v>37</v>
      </c>
      <c r="D13" s="1">
        <v>2.0</v>
      </c>
      <c r="E13" s="1" t="s">
        <v>111</v>
      </c>
    </row>
    <row r="14" ht="15.75" customHeight="1">
      <c r="A14" s="1">
        <v>9.032534163E9</v>
      </c>
      <c r="B14" s="1" t="s">
        <v>115</v>
      </c>
      <c r="C14" s="1" t="s">
        <v>116</v>
      </c>
      <c r="D14" s="1">
        <v>2.0</v>
      </c>
      <c r="E14" s="1" t="s">
        <v>111</v>
      </c>
    </row>
    <row r="15" ht="15.75" customHeight="1">
      <c r="A15" s="1">
        <v>8.039667706E9</v>
      </c>
      <c r="B15" s="1" t="s">
        <v>58</v>
      </c>
      <c r="C15" s="1" t="s">
        <v>9</v>
      </c>
      <c r="D15" s="1">
        <v>1.0</v>
      </c>
      <c r="E15" s="1" t="s">
        <v>117</v>
      </c>
    </row>
    <row r="16" ht="15.75" customHeight="1">
      <c r="A16" s="1">
        <v>8.039667706E9</v>
      </c>
      <c r="B16" s="1" t="s">
        <v>58</v>
      </c>
      <c r="C16" s="1" t="s">
        <v>118</v>
      </c>
      <c r="D16" s="1">
        <v>1.0</v>
      </c>
      <c r="E16" s="1" t="s">
        <v>117</v>
      </c>
    </row>
    <row r="17" ht="15.75" customHeight="1">
      <c r="C17" s="1" t="s">
        <v>119</v>
      </c>
      <c r="D17" s="1">
        <v>3.0</v>
      </c>
      <c r="E17" s="1" t="s">
        <v>120</v>
      </c>
    </row>
    <row r="18" ht="15.75" customHeight="1">
      <c r="A18" s="1">
        <v>8.097089018E9</v>
      </c>
      <c r="B18" s="1" t="s">
        <v>121</v>
      </c>
      <c r="C18" s="1" t="s">
        <v>105</v>
      </c>
      <c r="D18" s="1">
        <v>1.0</v>
      </c>
      <c r="E18" s="1" t="s">
        <v>122</v>
      </c>
    </row>
    <row r="19" ht="15.75" customHeight="1">
      <c r="A19" s="1">
        <v>8.097089018E9</v>
      </c>
      <c r="B19" s="1" t="s">
        <v>121</v>
      </c>
      <c r="C19" s="1" t="s">
        <v>9</v>
      </c>
      <c r="D19" s="1">
        <v>1.0</v>
      </c>
      <c r="E19" s="1" t="s">
        <v>122</v>
      </c>
    </row>
    <row r="20" ht="15.75" customHeight="1">
      <c r="A20" s="1">
        <v>8.097089018E9</v>
      </c>
      <c r="B20" s="1" t="s">
        <v>121</v>
      </c>
      <c r="C20" s="1" t="s">
        <v>36</v>
      </c>
      <c r="D20" s="1">
        <v>1.0</v>
      </c>
      <c r="E20" s="1" t="s">
        <v>122</v>
      </c>
    </row>
    <row r="21" ht="15.75" customHeight="1">
      <c r="A21" s="1">
        <v>8.097089018E9</v>
      </c>
      <c r="B21" s="1" t="s">
        <v>121</v>
      </c>
      <c r="C21" s="1" t="s">
        <v>123</v>
      </c>
      <c r="D21" s="1">
        <v>1.0</v>
      </c>
      <c r="E21" s="1" t="s">
        <v>122</v>
      </c>
    </row>
    <row r="22" ht="15.75" customHeight="1">
      <c r="A22" s="1">
        <v>8.097089018E9</v>
      </c>
      <c r="B22" s="1" t="s">
        <v>121</v>
      </c>
      <c r="C22" s="1" t="s">
        <v>124</v>
      </c>
      <c r="D22" s="1">
        <v>1.0</v>
      </c>
      <c r="E22" s="1" t="s">
        <v>122</v>
      </c>
    </row>
    <row r="23" ht="15.75" customHeight="1">
      <c r="A23" s="1">
        <v>7.067900985E9</v>
      </c>
      <c r="B23" s="1" t="s">
        <v>38</v>
      </c>
      <c r="C23" s="1" t="s">
        <v>36</v>
      </c>
      <c r="D23" s="1">
        <v>1.0</v>
      </c>
      <c r="E23" s="1" t="s">
        <v>122</v>
      </c>
    </row>
    <row r="24" ht="15.75" customHeight="1">
      <c r="A24" s="1">
        <v>7.067900985E9</v>
      </c>
      <c r="B24" s="1" t="s">
        <v>38</v>
      </c>
      <c r="C24" s="1" t="s">
        <v>125</v>
      </c>
      <c r="D24" s="1">
        <v>1.0</v>
      </c>
      <c r="E24" s="1" t="s">
        <v>122</v>
      </c>
    </row>
    <row r="25" ht="15.75" customHeight="1">
      <c r="A25" s="1">
        <v>7.067900985E9</v>
      </c>
      <c r="B25" s="1" t="s">
        <v>38</v>
      </c>
      <c r="C25" s="1" t="s">
        <v>126</v>
      </c>
      <c r="D25" s="1">
        <v>1.0</v>
      </c>
      <c r="E25" s="1" t="s">
        <v>122</v>
      </c>
    </row>
    <row r="26" ht="15.75" customHeight="1">
      <c r="A26" s="1">
        <v>7.067900985E9</v>
      </c>
      <c r="B26" s="1" t="s">
        <v>38</v>
      </c>
      <c r="C26" s="1" t="s">
        <v>9</v>
      </c>
      <c r="D26" s="1">
        <v>1.0</v>
      </c>
      <c r="E26" s="1" t="s">
        <v>122</v>
      </c>
    </row>
    <row r="27" ht="15.75" customHeight="1">
      <c r="A27" s="1">
        <v>8.033343151E9</v>
      </c>
      <c r="B27" s="1" t="s">
        <v>127</v>
      </c>
      <c r="C27" s="1" t="s">
        <v>9</v>
      </c>
      <c r="D27" s="1">
        <v>1.0</v>
      </c>
      <c r="E27" s="1" t="s">
        <v>128</v>
      </c>
    </row>
    <row r="28" ht="15.75" customHeight="1">
      <c r="A28" s="1">
        <v>8.136446085E9</v>
      </c>
      <c r="B28" s="1" t="s">
        <v>129</v>
      </c>
      <c r="C28" s="1" t="s">
        <v>130</v>
      </c>
      <c r="D28" s="1">
        <v>1.0</v>
      </c>
      <c r="E28" s="1" t="s">
        <v>131</v>
      </c>
    </row>
    <row r="29" ht="15.75" customHeight="1">
      <c r="A29" s="1">
        <v>9.014880117E9</v>
      </c>
      <c r="B29" s="1" t="s">
        <v>38</v>
      </c>
      <c r="C29" s="1" t="s">
        <v>37</v>
      </c>
      <c r="D29" s="1">
        <v>1.0</v>
      </c>
      <c r="E29" s="1" t="s">
        <v>132</v>
      </c>
    </row>
    <row r="30" ht="15.75" customHeight="1">
      <c r="A30" s="1">
        <v>8.136446085E9</v>
      </c>
      <c r="B30" s="1" t="s">
        <v>129</v>
      </c>
      <c r="C30" s="1" t="s">
        <v>9</v>
      </c>
      <c r="D30" s="1">
        <v>1.0</v>
      </c>
      <c r="E30" s="1" t="s">
        <v>133</v>
      </c>
    </row>
    <row r="31" ht="15.75" customHeight="1">
      <c r="B31" s="1" t="s">
        <v>77</v>
      </c>
      <c r="C31" s="1" t="s">
        <v>134</v>
      </c>
      <c r="D31" s="1">
        <v>1.0</v>
      </c>
      <c r="E31" s="1" t="s">
        <v>132</v>
      </c>
    </row>
    <row r="32" ht="15.75" customHeight="1">
      <c r="B32" s="1" t="s">
        <v>77</v>
      </c>
      <c r="C32" s="1" t="s">
        <v>9</v>
      </c>
      <c r="D32" s="1">
        <v>1.0</v>
      </c>
      <c r="E32" s="1" t="s">
        <v>132</v>
      </c>
    </row>
    <row r="33" ht="15.75" customHeight="1">
      <c r="B33" s="1" t="s">
        <v>59</v>
      </c>
      <c r="C33" s="1" t="s">
        <v>135</v>
      </c>
      <c r="D33" s="1">
        <v>1.0</v>
      </c>
      <c r="E33" s="1" t="s">
        <v>133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9.38"/>
  </cols>
  <sheetData>
    <row r="1" ht="15.75" customHeight="1">
      <c r="A1" s="1" t="s">
        <v>136</v>
      </c>
      <c r="B1" s="1" t="s">
        <v>1</v>
      </c>
      <c r="C1" s="1" t="s">
        <v>69</v>
      </c>
      <c r="D1" s="1" t="s">
        <v>3</v>
      </c>
      <c r="E1" s="1" t="s">
        <v>137</v>
      </c>
    </row>
    <row r="2" ht="15.75" customHeight="1">
      <c r="A2" s="1">
        <v>8.034623817E9</v>
      </c>
      <c r="B2" s="1" t="s">
        <v>138</v>
      </c>
      <c r="C2" s="1" t="s">
        <v>28</v>
      </c>
      <c r="D2" s="1">
        <v>2.0</v>
      </c>
      <c r="E2" s="1" t="s">
        <v>139</v>
      </c>
    </row>
    <row r="3" ht="15.75" customHeight="1">
      <c r="A3" s="1">
        <v>8.0463984E7</v>
      </c>
      <c r="B3" s="1" t="s">
        <v>140</v>
      </c>
      <c r="C3" s="1" t="s">
        <v>35</v>
      </c>
      <c r="D3" s="1">
        <v>2.0</v>
      </c>
      <c r="E3" s="1" t="s">
        <v>139</v>
      </c>
    </row>
    <row r="4" ht="15.75" customHeight="1">
      <c r="A4" s="1">
        <v>8.03254229E8</v>
      </c>
      <c r="B4" s="1" t="s">
        <v>66</v>
      </c>
      <c r="C4" s="1" t="s">
        <v>141</v>
      </c>
      <c r="D4" s="1">
        <v>1.0</v>
      </c>
      <c r="E4" s="1" t="s">
        <v>139</v>
      </c>
    </row>
    <row r="5" ht="15.75" customHeight="1">
      <c r="A5" s="1" t="s">
        <v>142</v>
      </c>
      <c r="B5" s="1" t="s">
        <v>143</v>
      </c>
      <c r="C5" s="1" t="s">
        <v>10</v>
      </c>
      <c r="D5" s="1">
        <v>2.0</v>
      </c>
      <c r="E5" s="1" t="s">
        <v>144</v>
      </c>
    </row>
    <row r="6" ht="15.75" customHeight="1">
      <c r="A6" s="1">
        <v>8.135846163E9</v>
      </c>
      <c r="B6" s="1" t="s">
        <v>66</v>
      </c>
      <c r="C6" s="1" t="s">
        <v>145</v>
      </c>
      <c r="D6" s="1">
        <v>2.0</v>
      </c>
      <c r="E6" s="1" t="s">
        <v>144</v>
      </c>
    </row>
    <row r="7" ht="15.75" customHeight="1">
      <c r="A7" s="1">
        <v>7.046822557E9</v>
      </c>
      <c r="B7" s="1" t="s">
        <v>74</v>
      </c>
      <c r="C7" s="1" t="s">
        <v>146</v>
      </c>
      <c r="D7" s="1">
        <v>1.0</v>
      </c>
      <c r="E7" s="1" t="s">
        <v>144</v>
      </c>
    </row>
    <row r="8" ht="15.75" customHeight="1">
      <c r="A8" s="1">
        <v>7.046822557E9</v>
      </c>
      <c r="B8" s="1" t="s">
        <v>74</v>
      </c>
      <c r="C8" s="1" t="s">
        <v>147</v>
      </c>
      <c r="D8" s="1">
        <v>1.0</v>
      </c>
      <c r="E8" s="1" t="s">
        <v>144</v>
      </c>
    </row>
    <row r="9" ht="15.75" customHeight="1">
      <c r="A9" s="1">
        <v>8.035846163E9</v>
      </c>
      <c r="B9" s="1" t="s">
        <v>66</v>
      </c>
      <c r="C9" s="1" t="s">
        <v>94</v>
      </c>
      <c r="D9" s="1">
        <v>2.0</v>
      </c>
      <c r="E9" s="1" t="s">
        <v>144</v>
      </c>
    </row>
    <row r="10" ht="15.75" customHeight="1">
      <c r="B10" s="1" t="s">
        <v>52</v>
      </c>
      <c r="C10" s="1" t="s">
        <v>78</v>
      </c>
      <c r="D10" s="1">
        <v>2.0</v>
      </c>
      <c r="E10" s="1" t="s">
        <v>144</v>
      </c>
    </row>
    <row r="11" ht="15.75" customHeight="1">
      <c r="A11" s="1">
        <v>9.037349461E9</v>
      </c>
      <c r="B11" s="1" t="s">
        <v>19</v>
      </c>
      <c r="C11" s="1" t="s">
        <v>148</v>
      </c>
      <c r="D11" s="1">
        <v>2.0</v>
      </c>
      <c r="E11" s="1" t="s">
        <v>149</v>
      </c>
    </row>
    <row r="12" ht="15.75" customHeight="1">
      <c r="A12" s="1">
        <v>8.035655076E9</v>
      </c>
      <c r="B12" s="1" t="s">
        <v>150</v>
      </c>
      <c r="C12" s="1" t="s">
        <v>35</v>
      </c>
      <c r="D12" s="1">
        <v>3.0</v>
      </c>
      <c r="E12" s="1" t="s">
        <v>149</v>
      </c>
    </row>
    <row r="13" ht="15.75" customHeight="1">
      <c r="A13" s="1">
        <v>8.035655076E9</v>
      </c>
      <c r="B13" s="1" t="s">
        <v>151</v>
      </c>
      <c r="C13" s="1" t="s">
        <v>152</v>
      </c>
      <c r="D13" s="1">
        <v>1.0</v>
      </c>
      <c r="E13" s="1" t="s">
        <v>153</v>
      </c>
    </row>
    <row r="14" ht="15.75" customHeight="1">
      <c r="A14" s="1">
        <v>8.034240881E9</v>
      </c>
      <c r="B14" s="1" t="s">
        <v>154</v>
      </c>
      <c r="C14" s="1" t="s">
        <v>67</v>
      </c>
      <c r="D14" s="1">
        <v>1.0</v>
      </c>
      <c r="E14" s="1" t="s">
        <v>155</v>
      </c>
    </row>
    <row r="15" ht="15.75" customHeight="1">
      <c r="A15" s="1">
        <v>8.034363923E9</v>
      </c>
      <c r="B15" s="1" t="s">
        <v>5</v>
      </c>
      <c r="C15" s="1" t="s">
        <v>68</v>
      </c>
      <c r="D15" s="1">
        <v>2.0</v>
      </c>
      <c r="E15" s="1" t="s">
        <v>149</v>
      </c>
    </row>
    <row r="16" ht="15.75" customHeight="1">
      <c r="A16" s="1">
        <v>7.071237348E9</v>
      </c>
      <c r="B16" s="1" t="s">
        <v>52</v>
      </c>
      <c r="C16" s="1" t="s">
        <v>68</v>
      </c>
      <c r="D16" s="1">
        <v>2.0</v>
      </c>
      <c r="E16" s="2">
        <v>46030.0</v>
      </c>
    </row>
    <row r="17" ht="15.75" customHeight="1">
      <c r="A17" s="1">
        <v>8.16383825E9</v>
      </c>
      <c r="B17" s="1" t="s">
        <v>52</v>
      </c>
      <c r="C17" s="1" t="s">
        <v>68</v>
      </c>
      <c r="D17" s="1">
        <v>1.0</v>
      </c>
      <c r="E17" s="2">
        <v>46030.0</v>
      </c>
    </row>
    <row r="18" ht="15.75" customHeight="1">
      <c r="A18" s="1">
        <v>9.036852785E9</v>
      </c>
      <c r="B18" s="1" t="s">
        <v>52</v>
      </c>
      <c r="C18" s="1" t="s">
        <v>156</v>
      </c>
      <c r="D18" s="1">
        <v>1.0</v>
      </c>
      <c r="E18" s="2">
        <v>46089.0</v>
      </c>
    </row>
    <row r="19" ht="15.75" customHeight="1">
      <c r="A19" s="1">
        <v>8.063088411E9</v>
      </c>
      <c r="B19" s="1" t="s">
        <v>157</v>
      </c>
      <c r="C19" s="1" t="s">
        <v>158</v>
      </c>
      <c r="D19" s="1">
        <v>2.0</v>
      </c>
      <c r="E19" s="2">
        <v>46089.0</v>
      </c>
    </row>
    <row r="20" ht="15.75" customHeight="1">
      <c r="A20" s="1">
        <v>9.024852188E9</v>
      </c>
      <c r="B20" s="1" t="s">
        <v>59</v>
      </c>
      <c r="C20" s="1" t="s">
        <v>159</v>
      </c>
      <c r="D20" s="1">
        <v>1.0</v>
      </c>
      <c r="E20" s="2">
        <v>46150.0</v>
      </c>
    </row>
    <row r="21" ht="15.75" customHeight="1">
      <c r="A21" s="1">
        <v>9.024852188E9</v>
      </c>
      <c r="B21" s="1" t="s">
        <v>59</v>
      </c>
      <c r="C21" s="1" t="s">
        <v>160</v>
      </c>
      <c r="D21" s="1">
        <v>1.0</v>
      </c>
      <c r="E21" s="2">
        <v>46150.0</v>
      </c>
    </row>
    <row r="22" ht="15.75" customHeight="1">
      <c r="A22" s="1">
        <v>9.024852188E9</v>
      </c>
      <c r="B22" s="1" t="s">
        <v>59</v>
      </c>
      <c r="C22" s="1" t="s">
        <v>161</v>
      </c>
      <c r="D22" s="1">
        <v>1.0</v>
      </c>
      <c r="E22" s="2">
        <v>46150.0</v>
      </c>
    </row>
    <row r="23" ht="15.75" customHeight="1">
      <c r="A23" s="1">
        <v>9.161382849E9</v>
      </c>
      <c r="B23" s="1" t="s">
        <v>162</v>
      </c>
      <c r="C23" s="1" t="s">
        <v>35</v>
      </c>
      <c r="D23" s="1">
        <v>1.0</v>
      </c>
      <c r="E23" s="2">
        <v>46150.0</v>
      </c>
    </row>
    <row r="24" ht="15.75" customHeight="1">
      <c r="A24" s="1">
        <v>8.163854758E9</v>
      </c>
      <c r="B24" s="1" t="s">
        <v>52</v>
      </c>
      <c r="C24" s="1" t="s">
        <v>80</v>
      </c>
      <c r="D24" s="1">
        <v>1.0</v>
      </c>
      <c r="E24" s="2">
        <v>46181.0</v>
      </c>
    </row>
    <row r="25" ht="15.75" customHeight="1">
      <c r="A25" s="1">
        <v>7.039718944E9</v>
      </c>
      <c r="B25" s="1" t="s">
        <v>163</v>
      </c>
      <c r="C25" s="1" t="s">
        <v>164</v>
      </c>
      <c r="D25" s="1">
        <v>1.0</v>
      </c>
      <c r="E25" s="2">
        <v>46181.0</v>
      </c>
    </row>
    <row r="26" ht="15.75" customHeight="1">
      <c r="A26" s="1">
        <v>7.039718944E9</v>
      </c>
      <c r="B26" s="1" t="s">
        <v>165</v>
      </c>
      <c r="C26" s="1" t="s">
        <v>166</v>
      </c>
      <c r="D26" s="1">
        <v>1.0</v>
      </c>
      <c r="E26" s="2">
        <v>46181.0</v>
      </c>
    </row>
    <row r="27" ht="15.75" customHeight="1">
      <c r="A27" s="1">
        <v>7.039718944E9</v>
      </c>
      <c r="B27" s="1" t="s">
        <v>165</v>
      </c>
      <c r="C27" s="1" t="s">
        <v>112</v>
      </c>
      <c r="D27" s="1">
        <v>1.0</v>
      </c>
      <c r="E27" s="2">
        <v>46181.0</v>
      </c>
    </row>
    <row r="28" ht="15.75" customHeight="1">
      <c r="A28" s="1">
        <v>8.034863417E9</v>
      </c>
      <c r="B28" s="1" t="s">
        <v>77</v>
      </c>
      <c r="C28" s="1" t="s">
        <v>43</v>
      </c>
      <c r="D28" s="1">
        <v>1.0</v>
      </c>
      <c r="E28" s="2">
        <v>46181.0</v>
      </c>
    </row>
    <row r="29" ht="15.75" customHeight="1">
      <c r="C29" s="1" t="s">
        <v>75</v>
      </c>
      <c r="D29" s="1">
        <v>4.0</v>
      </c>
      <c r="E29" s="2">
        <v>46211.0</v>
      </c>
    </row>
    <row r="30" ht="15.75" customHeight="1">
      <c r="C30" s="1" t="s">
        <v>43</v>
      </c>
      <c r="D30" s="1">
        <v>4.0</v>
      </c>
      <c r="E30" s="2">
        <v>46211.0</v>
      </c>
    </row>
    <row r="31" ht="15.75" customHeight="1">
      <c r="C31" s="1" t="s">
        <v>72</v>
      </c>
      <c r="D31" s="1">
        <v>2.0</v>
      </c>
      <c r="E31" s="2">
        <v>46061.0</v>
      </c>
    </row>
    <row r="32" ht="15.75" customHeight="1">
      <c r="A32" s="1">
        <v>8.035131868E9</v>
      </c>
      <c r="B32" s="1" t="s">
        <v>167</v>
      </c>
      <c r="C32" s="1" t="s">
        <v>18</v>
      </c>
      <c r="D32" s="1">
        <v>1.0</v>
      </c>
      <c r="E32" s="2">
        <v>46061.0</v>
      </c>
    </row>
    <row r="33" ht="15.75" customHeight="1">
      <c r="A33" s="1">
        <v>8.035131868E9</v>
      </c>
      <c r="B33" s="1" t="s">
        <v>77</v>
      </c>
      <c r="C33" s="1" t="s">
        <v>9</v>
      </c>
      <c r="D33" s="1">
        <v>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5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8.036205454E9</v>
      </c>
      <c r="B2" s="1" t="s">
        <v>168</v>
      </c>
      <c r="C2" s="1" t="s">
        <v>36</v>
      </c>
      <c r="D2" s="1">
        <v>1.0</v>
      </c>
      <c r="E2" s="2">
        <v>46362.0</v>
      </c>
    </row>
    <row r="3" ht="15.75" customHeight="1">
      <c r="A3" s="1">
        <v>8.036205454E9</v>
      </c>
      <c r="B3" s="1" t="s">
        <v>168</v>
      </c>
      <c r="C3" s="1" t="s">
        <v>169</v>
      </c>
      <c r="D3" s="1">
        <v>1.0</v>
      </c>
      <c r="E3" s="2">
        <v>46362.0</v>
      </c>
    </row>
    <row r="4" ht="15.75" customHeight="1">
      <c r="A4" s="1">
        <v>8.036205454E9</v>
      </c>
      <c r="B4" s="1" t="s">
        <v>168</v>
      </c>
      <c r="C4" s="1" t="s">
        <v>79</v>
      </c>
      <c r="D4" s="1">
        <v>1.0</v>
      </c>
      <c r="E4" s="2">
        <v>46362.0</v>
      </c>
    </row>
    <row r="5" ht="15.75" customHeight="1">
      <c r="A5" s="1">
        <v>8.036205454E9</v>
      </c>
      <c r="B5" s="1" t="s">
        <v>168</v>
      </c>
      <c r="C5" s="1" t="s">
        <v>94</v>
      </c>
      <c r="D5" s="1">
        <v>1.0</v>
      </c>
      <c r="E5" s="2">
        <v>46362.0</v>
      </c>
    </row>
    <row r="6" ht="15.75" customHeight="1">
      <c r="A6" s="1">
        <v>8.033914922E9</v>
      </c>
      <c r="B6" s="1" t="s">
        <v>170</v>
      </c>
      <c r="C6" s="1" t="s">
        <v>171</v>
      </c>
      <c r="D6" s="1">
        <v>1.0</v>
      </c>
      <c r="E6" s="1" t="s">
        <v>172</v>
      </c>
    </row>
    <row r="7" ht="15.75" customHeight="1">
      <c r="A7" s="1">
        <v>8.164386288E9</v>
      </c>
      <c r="B7" s="1" t="s">
        <v>173</v>
      </c>
      <c r="C7" s="1" t="s">
        <v>80</v>
      </c>
      <c r="D7" s="1">
        <v>1.0</v>
      </c>
      <c r="E7" s="1" t="s">
        <v>172</v>
      </c>
    </row>
    <row r="8" ht="15.75" customHeight="1">
      <c r="A8" s="1">
        <v>8.067563481E9</v>
      </c>
      <c r="B8" s="1" t="s">
        <v>174</v>
      </c>
      <c r="C8" s="1" t="s">
        <v>36</v>
      </c>
      <c r="D8" s="1">
        <v>3.0</v>
      </c>
      <c r="E8" s="1" t="s">
        <v>172</v>
      </c>
    </row>
    <row r="9" ht="15.75" customHeight="1">
      <c r="A9" s="1">
        <v>8.039361062E9</v>
      </c>
      <c r="B9" s="1" t="s">
        <v>27</v>
      </c>
      <c r="C9" s="1" t="s">
        <v>36</v>
      </c>
      <c r="D9" s="1">
        <v>1.0</v>
      </c>
      <c r="E9" s="1" t="s">
        <v>172</v>
      </c>
    </row>
    <row r="10" ht="15.75" customHeight="1">
      <c r="A10" s="1">
        <v>8.033914922E9</v>
      </c>
      <c r="B10" s="1" t="s">
        <v>170</v>
      </c>
      <c r="C10" s="1" t="s">
        <v>80</v>
      </c>
      <c r="D10" s="1">
        <v>1.0</v>
      </c>
      <c r="E10" s="1" t="s">
        <v>172</v>
      </c>
    </row>
    <row r="11" ht="15.75" customHeight="1">
      <c r="A11" s="1">
        <v>9.031212133E9</v>
      </c>
      <c r="B11" s="1" t="s">
        <v>58</v>
      </c>
      <c r="C11" s="1" t="s">
        <v>79</v>
      </c>
      <c r="D11" s="1">
        <v>2.0</v>
      </c>
      <c r="E11" s="1" t="s">
        <v>172</v>
      </c>
    </row>
    <row r="12" ht="15.75" customHeight="1">
      <c r="A12" s="1">
        <v>8.037262183E9</v>
      </c>
      <c r="B12" s="1" t="s">
        <v>58</v>
      </c>
      <c r="C12" s="1" t="s">
        <v>175</v>
      </c>
      <c r="D12" s="1">
        <v>1.0</v>
      </c>
      <c r="E12" s="1" t="s">
        <v>172</v>
      </c>
    </row>
    <row r="13" ht="15.75" customHeight="1">
      <c r="A13" s="1">
        <v>9.040570411E9</v>
      </c>
      <c r="B13" s="1" t="s">
        <v>27</v>
      </c>
      <c r="C13" s="1" t="s">
        <v>176</v>
      </c>
      <c r="D13" s="1">
        <v>1.0</v>
      </c>
      <c r="E13" s="1" t="s">
        <v>177</v>
      </c>
    </row>
    <row r="14" ht="15.75" customHeight="1">
      <c r="A14" s="1">
        <v>9.070520411E9</v>
      </c>
      <c r="B14" s="1" t="s">
        <v>27</v>
      </c>
      <c r="C14" s="1" t="s">
        <v>78</v>
      </c>
      <c r="D14" s="1">
        <v>1.0</v>
      </c>
      <c r="E14" s="1" t="s">
        <v>177</v>
      </c>
    </row>
    <row r="15" ht="15.75" customHeight="1">
      <c r="A15" s="1">
        <v>8.037329451E9</v>
      </c>
      <c r="B15" s="1" t="s">
        <v>19</v>
      </c>
      <c r="C15" s="1" t="s">
        <v>178</v>
      </c>
      <c r="D15" s="1">
        <v>2.0</v>
      </c>
      <c r="E15" s="1" t="s">
        <v>177</v>
      </c>
    </row>
    <row r="16" ht="15.75" customHeight="1">
      <c r="A16" s="1">
        <v>7.054883458E9</v>
      </c>
      <c r="B16" s="1" t="s">
        <v>179</v>
      </c>
      <c r="C16" s="1" t="s">
        <v>180</v>
      </c>
      <c r="D16" s="1">
        <v>1.0</v>
      </c>
      <c r="E16" s="1" t="s">
        <v>177</v>
      </c>
    </row>
    <row r="17" ht="15.75" customHeight="1">
      <c r="A17" s="1">
        <v>8.025088942E9</v>
      </c>
      <c r="B17" s="1" t="s">
        <v>181</v>
      </c>
      <c r="C17" s="1" t="s">
        <v>68</v>
      </c>
      <c r="D17" s="1">
        <v>1.0</v>
      </c>
      <c r="E17" s="1" t="s">
        <v>177</v>
      </c>
    </row>
    <row r="18" ht="15.75" customHeight="1">
      <c r="A18" s="1">
        <v>8.036642661E9</v>
      </c>
      <c r="B18" s="1" t="s">
        <v>182</v>
      </c>
      <c r="C18" s="1" t="s">
        <v>97</v>
      </c>
      <c r="D18" s="1">
        <v>3.0</v>
      </c>
      <c r="E18" s="1" t="s">
        <v>183</v>
      </c>
    </row>
    <row r="19" ht="15.75" customHeight="1">
      <c r="A19" s="1">
        <v>8.030828539E9</v>
      </c>
      <c r="B19" s="1" t="s">
        <v>184</v>
      </c>
      <c r="C19" s="1" t="s">
        <v>178</v>
      </c>
      <c r="D19" s="1">
        <v>3.0</v>
      </c>
      <c r="E19" s="1" t="s">
        <v>185</v>
      </c>
    </row>
    <row r="20" ht="15.75" customHeight="1">
      <c r="A20" s="1">
        <v>7.033720253E9</v>
      </c>
      <c r="B20" s="1" t="s">
        <v>186</v>
      </c>
      <c r="C20" s="1" t="s">
        <v>68</v>
      </c>
      <c r="D20" s="1">
        <v>1.0</v>
      </c>
      <c r="E20" s="1" t="s">
        <v>185</v>
      </c>
    </row>
    <row r="21" ht="15.75" customHeight="1">
      <c r="A21" s="1">
        <v>8.064623987E9</v>
      </c>
      <c r="B21" s="1" t="s">
        <v>187</v>
      </c>
      <c r="C21" s="1" t="s">
        <v>79</v>
      </c>
      <c r="D21" s="1">
        <v>2.0</v>
      </c>
      <c r="E21" s="1" t="s">
        <v>183</v>
      </c>
    </row>
    <row r="22" ht="15.75" customHeight="1">
      <c r="A22" s="1">
        <v>8.064623987E9</v>
      </c>
      <c r="B22" s="1" t="s">
        <v>187</v>
      </c>
      <c r="C22" s="1" t="s">
        <v>68</v>
      </c>
      <c r="D22" s="1">
        <v>3.0</v>
      </c>
      <c r="E22" s="1" t="s">
        <v>183</v>
      </c>
    </row>
    <row r="23" ht="15.75" customHeight="1">
      <c r="A23" s="1">
        <v>8.064623987E9</v>
      </c>
      <c r="B23" s="1" t="s">
        <v>187</v>
      </c>
      <c r="C23" s="1" t="s">
        <v>46</v>
      </c>
      <c r="D23" s="1">
        <v>3.0</v>
      </c>
      <c r="E23" s="1" t="s">
        <v>183</v>
      </c>
    </row>
    <row r="24" ht="15.75" customHeight="1">
      <c r="A24" s="1">
        <v>8.027285517E9</v>
      </c>
      <c r="B24" s="1" t="s">
        <v>188</v>
      </c>
      <c r="C24" s="1" t="s">
        <v>189</v>
      </c>
      <c r="D24" s="1">
        <v>1.0</v>
      </c>
      <c r="E24" s="1" t="s">
        <v>183</v>
      </c>
    </row>
    <row r="25" ht="15.75" customHeight="1">
      <c r="A25" s="1">
        <v>8.138175555E9</v>
      </c>
      <c r="B25" s="1" t="s">
        <v>190</v>
      </c>
      <c r="C25" s="1" t="s">
        <v>191</v>
      </c>
      <c r="D25" s="1">
        <v>2.0</v>
      </c>
      <c r="E25" s="1" t="s">
        <v>192</v>
      </c>
    </row>
    <row r="26" ht="15.75" customHeight="1">
      <c r="A26" s="1">
        <v>7.03527445E8</v>
      </c>
      <c r="B26" s="1" t="s">
        <v>193</v>
      </c>
      <c r="C26" s="1" t="s">
        <v>94</v>
      </c>
      <c r="D26" s="1">
        <v>1.0</v>
      </c>
      <c r="E26" s="1" t="s">
        <v>192</v>
      </c>
    </row>
    <row r="27" ht="15.75" customHeight="1">
      <c r="A27" s="1">
        <v>9.039964234E9</v>
      </c>
      <c r="B27" s="1" t="s">
        <v>194</v>
      </c>
      <c r="C27" s="1" t="s">
        <v>68</v>
      </c>
      <c r="D27" s="1">
        <v>4.0</v>
      </c>
      <c r="E27" s="1" t="s">
        <v>192</v>
      </c>
    </row>
    <row r="28" ht="15.75" customHeight="1">
      <c r="A28" s="1">
        <v>9.039964234E9</v>
      </c>
      <c r="B28" s="1" t="s">
        <v>194</v>
      </c>
      <c r="C28" s="1" t="s">
        <v>36</v>
      </c>
      <c r="D28" s="1">
        <v>2.0</v>
      </c>
      <c r="E28" s="1" t="s">
        <v>192</v>
      </c>
    </row>
    <row r="29" ht="15.75" customHeight="1">
      <c r="A29" s="1">
        <v>7.015529016E9</v>
      </c>
      <c r="B29" s="1" t="s">
        <v>195</v>
      </c>
      <c r="C29" s="1" t="s">
        <v>36</v>
      </c>
      <c r="D29" s="1">
        <v>2.0</v>
      </c>
      <c r="E29" s="1" t="s">
        <v>192</v>
      </c>
    </row>
    <row r="30" ht="15.75" customHeight="1">
      <c r="A30" s="1">
        <v>7.030454392E9</v>
      </c>
      <c r="B30" s="1" t="s">
        <v>196</v>
      </c>
      <c r="C30" s="1" t="s">
        <v>36</v>
      </c>
      <c r="D30" s="1">
        <v>1.0</v>
      </c>
      <c r="E30" s="1" t="s">
        <v>192</v>
      </c>
    </row>
    <row r="31" ht="15.75" customHeight="1">
      <c r="A31" s="1">
        <v>8.035981229E9</v>
      </c>
      <c r="B31" s="1" t="s">
        <v>54</v>
      </c>
      <c r="C31" s="1" t="s">
        <v>36</v>
      </c>
      <c r="D31" s="1">
        <v>1.0</v>
      </c>
      <c r="E31" s="1" t="s">
        <v>192</v>
      </c>
    </row>
    <row r="32" ht="15.75" customHeight="1">
      <c r="A32" s="1">
        <v>7.064909871E9</v>
      </c>
      <c r="B32" s="1" t="s">
        <v>197</v>
      </c>
      <c r="C32" s="1" t="s">
        <v>36</v>
      </c>
      <c r="D32" s="1">
        <v>3.0</v>
      </c>
      <c r="E32" s="1" t="s">
        <v>192</v>
      </c>
    </row>
    <row r="33" ht="15.75" customHeight="1">
      <c r="A33" s="1">
        <v>8.036709982E9</v>
      </c>
      <c r="B33" s="1" t="s">
        <v>198</v>
      </c>
      <c r="C33" s="1" t="s">
        <v>36</v>
      </c>
      <c r="D33" s="1">
        <v>1.0</v>
      </c>
      <c r="E33" s="1" t="s">
        <v>192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4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8.137427436E9</v>
      </c>
      <c r="B2" s="1" t="s">
        <v>59</v>
      </c>
      <c r="C2" s="1" t="s">
        <v>68</v>
      </c>
      <c r="D2" s="1">
        <v>1.0</v>
      </c>
      <c r="E2" s="2">
        <v>46272.0</v>
      </c>
    </row>
    <row r="3" ht="15.75" customHeight="1">
      <c r="A3" s="1">
        <v>8.069128133E9</v>
      </c>
      <c r="B3" s="1" t="s">
        <v>59</v>
      </c>
      <c r="C3" s="1" t="s">
        <v>199</v>
      </c>
      <c r="D3" s="1">
        <v>1.0</v>
      </c>
      <c r="E3" s="2">
        <v>46272.0</v>
      </c>
    </row>
    <row r="4" ht="15.75" customHeight="1">
      <c r="A4" s="1">
        <v>9.137235655E9</v>
      </c>
      <c r="B4" s="1" t="s">
        <v>52</v>
      </c>
      <c r="C4" s="1" t="s">
        <v>36</v>
      </c>
      <c r="D4" s="1">
        <v>2.0</v>
      </c>
      <c r="E4" s="2">
        <v>46272.0</v>
      </c>
    </row>
    <row r="5" ht="15.75" customHeight="1">
      <c r="A5" s="1">
        <v>9.137235655E9</v>
      </c>
      <c r="B5" s="1" t="s">
        <v>52</v>
      </c>
      <c r="C5" s="1" t="s">
        <v>80</v>
      </c>
      <c r="D5" s="1">
        <v>2.0</v>
      </c>
      <c r="E5" s="2">
        <v>46272.0</v>
      </c>
    </row>
    <row r="6" ht="15.75" customHeight="1">
      <c r="A6" s="1">
        <v>9.137235655E9</v>
      </c>
      <c r="B6" s="1" t="s">
        <v>52</v>
      </c>
      <c r="C6" s="1" t="s">
        <v>80</v>
      </c>
      <c r="D6" s="1">
        <v>1.0</v>
      </c>
      <c r="E6" s="2">
        <v>46272.0</v>
      </c>
    </row>
    <row r="7" ht="15.75" customHeight="1">
      <c r="A7" s="1">
        <v>8.038479838E9</v>
      </c>
      <c r="B7" s="1" t="s">
        <v>58</v>
      </c>
      <c r="C7" s="1" t="s">
        <v>200</v>
      </c>
      <c r="D7" s="1">
        <v>1.0</v>
      </c>
      <c r="E7" s="2">
        <v>46302.0</v>
      </c>
    </row>
    <row r="8" ht="15.75" customHeight="1">
      <c r="A8" s="1">
        <v>8.038479838E9</v>
      </c>
      <c r="B8" s="1" t="s">
        <v>58</v>
      </c>
      <c r="C8" s="1" t="s">
        <v>79</v>
      </c>
      <c r="D8" s="1">
        <v>2.0</v>
      </c>
      <c r="E8" s="2">
        <v>46302.0</v>
      </c>
    </row>
    <row r="9" ht="15.75" customHeight="1">
      <c r="A9" s="1">
        <v>8.038479838E9</v>
      </c>
      <c r="B9" s="1" t="s">
        <v>58</v>
      </c>
      <c r="C9" s="1" t="s">
        <v>37</v>
      </c>
      <c r="D9" s="1">
        <v>1.0</v>
      </c>
      <c r="E9" s="2">
        <v>46363.0</v>
      </c>
    </row>
    <row r="10" ht="15.75" customHeight="1">
      <c r="A10" s="1">
        <v>8.068219822E9</v>
      </c>
      <c r="B10" s="1" t="s">
        <v>5</v>
      </c>
      <c r="C10" s="1" t="s">
        <v>201</v>
      </c>
      <c r="D10" s="1">
        <v>1.0</v>
      </c>
      <c r="E10" s="2">
        <v>46363.0</v>
      </c>
    </row>
    <row r="11" ht="15.75" customHeight="1">
      <c r="A11" s="1">
        <v>8.038921564E9</v>
      </c>
      <c r="B11" s="1" t="s">
        <v>77</v>
      </c>
      <c r="C11" s="1" t="s">
        <v>9</v>
      </c>
      <c r="D11" s="1">
        <v>1.0</v>
      </c>
      <c r="E11" s="2">
        <v>46363.0</v>
      </c>
    </row>
    <row r="12" ht="15.75" customHeight="1">
      <c r="A12" s="1">
        <v>8.038921564E9</v>
      </c>
      <c r="B12" s="1" t="s">
        <v>77</v>
      </c>
      <c r="C12" s="1" t="s">
        <v>68</v>
      </c>
      <c r="D12" s="1">
        <v>1.0</v>
      </c>
      <c r="E12" s="1" t="s">
        <v>202</v>
      </c>
    </row>
    <row r="13" ht="15.75" customHeight="1">
      <c r="A13" s="1">
        <v>8.038921564E9</v>
      </c>
      <c r="B13" s="1" t="s">
        <v>77</v>
      </c>
      <c r="C13" s="1" t="s">
        <v>68</v>
      </c>
      <c r="D13" s="1">
        <v>1.0</v>
      </c>
      <c r="E13" s="1" t="s">
        <v>202</v>
      </c>
    </row>
    <row r="14" ht="15.75" customHeight="1">
      <c r="A14" s="1">
        <v>8.10743415E9</v>
      </c>
      <c r="B14" s="1" t="s">
        <v>203</v>
      </c>
      <c r="C14" s="1" t="s">
        <v>9</v>
      </c>
      <c r="D14" s="1">
        <v>2.0</v>
      </c>
      <c r="E14" s="1" t="s">
        <v>202</v>
      </c>
    </row>
    <row r="15" ht="15.75" customHeight="1">
      <c r="A15" s="1">
        <v>8.10743415E9</v>
      </c>
      <c r="B15" s="1" t="s">
        <v>203</v>
      </c>
      <c r="C15" s="1" t="s">
        <v>43</v>
      </c>
      <c r="D15" s="1">
        <v>1.0</v>
      </c>
      <c r="E15" s="1" t="s">
        <v>202</v>
      </c>
    </row>
    <row r="16" ht="15.75" customHeight="1">
      <c r="A16" s="1">
        <v>8.10743415E9</v>
      </c>
      <c r="B16" s="1" t="s">
        <v>203</v>
      </c>
      <c r="C16" s="1" t="s">
        <v>48</v>
      </c>
      <c r="D16" s="1">
        <v>1.0</v>
      </c>
      <c r="E16" s="1" t="s">
        <v>202</v>
      </c>
    </row>
    <row r="17" ht="15.75" customHeight="1">
      <c r="A17" s="1">
        <v>8.069127003E9</v>
      </c>
      <c r="B17" s="1" t="s">
        <v>204</v>
      </c>
      <c r="C17" s="1" t="s">
        <v>36</v>
      </c>
      <c r="D17" s="1">
        <v>2.0</v>
      </c>
      <c r="E17" s="1" t="s">
        <v>202</v>
      </c>
    </row>
    <row r="18" ht="15.75" customHeight="1">
      <c r="A18" s="1">
        <v>8.032379882E9</v>
      </c>
      <c r="B18" s="1" t="s">
        <v>74</v>
      </c>
      <c r="C18" s="1" t="s">
        <v>80</v>
      </c>
      <c r="D18" s="1">
        <v>1.0</v>
      </c>
      <c r="E18" s="1" t="s">
        <v>202</v>
      </c>
    </row>
    <row r="19" ht="15.75" customHeight="1">
      <c r="A19" s="1">
        <v>8.095438453E9</v>
      </c>
      <c r="B19" s="1" t="s">
        <v>77</v>
      </c>
      <c r="C19" s="1" t="s">
        <v>205</v>
      </c>
      <c r="D19" s="1">
        <v>2.0</v>
      </c>
      <c r="E19" s="1" t="s">
        <v>202</v>
      </c>
    </row>
    <row r="20" ht="15.75" customHeight="1">
      <c r="A20" s="1">
        <v>8.095438453E9</v>
      </c>
      <c r="B20" s="1" t="s">
        <v>77</v>
      </c>
      <c r="C20" s="1" t="s">
        <v>206</v>
      </c>
      <c r="D20" s="1">
        <v>2.0</v>
      </c>
      <c r="E20" s="1" t="s">
        <v>202</v>
      </c>
    </row>
    <row r="21" ht="15.75" customHeight="1">
      <c r="A21" s="1">
        <v>8.095438453E9</v>
      </c>
      <c r="B21" s="1" t="s">
        <v>77</v>
      </c>
      <c r="C21" s="1" t="s">
        <v>207</v>
      </c>
      <c r="D21" s="1">
        <v>1.0</v>
      </c>
      <c r="E21" s="1" t="s">
        <v>202</v>
      </c>
    </row>
    <row r="22" ht="15.75" customHeight="1">
      <c r="A22" s="1">
        <v>8.039315785E9</v>
      </c>
      <c r="B22" s="1" t="s">
        <v>203</v>
      </c>
      <c r="C22" s="1" t="s">
        <v>75</v>
      </c>
      <c r="D22" s="1">
        <v>1.0</v>
      </c>
      <c r="E22" s="1" t="s">
        <v>202</v>
      </c>
    </row>
    <row r="23" ht="15.75" customHeight="1">
      <c r="A23" s="1">
        <v>8.039315785E9</v>
      </c>
      <c r="B23" s="1" t="s">
        <v>203</v>
      </c>
      <c r="C23" s="1" t="s">
        <v>9</v>
      </c>
      <c r="D23" s="1">
        <v>1.0</v>
      </c>
      <c r="E23" s="1" t="s">
        <v>202</v>
      </c>
    </row>
    <row r="24" ht="15.75" customHeight="1">
      <c r="A24" s="1">
        <v>8.032280343E9</v>
      </c>
      <c r="B24" s="1" t="s">
        <v>5</v>
      </c>
      <c r="C24" s="1" t="s">
        <v>9</v>
      </c>
      <c r="D24" s="1">
        <v>1.0</v>
      </c>
      <c r="E24" s="1" t="s">
        <v>202</v>
      </c>
    </row>
    <row r="25" ht="15.75" customHeight="1">
      <c r="A25" s="1">
        <v>8.132245081E9</v>
      </c>
      <c r="B25" s="1" t="s">
        <v>74</v>
      </c>
      <c r="C25" s="1" t="s">
        <v>36</v>
      </c>
      <c r="D25" s="1">
        <v>2.0</v>
      </c>
      <c r="E25" s="1" t="s">
        <v>202</v>
      </c>
    </row>
    <row r="26" ht="15.75" customHeight="1">
      <c r="A26" s="1">
        <v>8.035846063E9</v>
      </c>
      <c r="B26" s="1" t="s">
        <v>208</v>
      </c>
      <c r="C26" s="1" t="s">
        <v>9</v>
      </c>
      <c r="D26" s="1">
        <v>3.0</v>
      </c>
      <c r="E26" s="1" t="s">
        <v>202</v>
      </c>
    </row>
    <row r="27" ht="15.75" customHeight="1">
      <c r="A27" s="1">
        <v>8.035846663E9</v>
      </c>
      <c r="B27" s="1" t="s">
        <v>208</v>
      </c>
      <c r="C27" s="1" t="s">
        <v>57</v>
      </c>
      <c r="D27" s="1">
        <v>1.0</v>
      </c>
      <c r="E27" s="1" t="s">
        <v>202</v>
      </c>
    </row>
    <row r="28" ht="15.75" customHeight="1">
      <c r="A28" s="1">
        <v>9.044303019E9</v>
      </c>
      <c r="B28" s="1" t="s">
        <v>5</v>
      </c>
      <c r="C28" s="1" t="s">
        <v>48</v>
      </c>
      <c r="D28" s="1">
        <v>1.0</v>
      </c>
      <c r="E28" s="1" t="s">
        <v>202</v>
      </c>
    </row>
    <row r="29" ht="15.75" customHeight="1">
      <c r="A29" s="1">
        <v>7.071257348E9</v>
      </c>
      <c r="B29" s="1" t="s">
        <v>52</v>
      </c>
      <c r="C29" s="1" t="s">
        <v>68</v>
      </c>
      <c r="D29" s="1">
        <v>1.0</v>
      </c>
      <c r="E29" s="1" t="s">
        <v>202</v>
      </c>
    </row>
    <row r="30" ht="15.75" customHeight="1">
      <c r="A30" s="1">
        <v>8.133720253E9</v>
      </c>
      <c r="B30" s="1" t="s">
        <v>77</v>
      </c>
      <c r="C30" s="1" t="s">
        <v>209</v>
      </c>
      <c r="D30" s="1">
        <v>2.0</v>
      </c>
      <c r="E30" s="1" t="s">
        <v>104</v>
      </c>
    </row>
    <row r="31" ht="15.75" customHeight="1">
      <c r="A31" s="1">
        <v>8.105437011E9</v>
      </c>
      <c r="B31" s="1" t="s">
        <v>38</v>
      </c>
      <c r="C31" s="1" t="s">
        <v>36</v>
      </c>
      <c r="D31" s="1">
        <v>1.0</v>
      </c>
      <c r="E31" s="1" t="s">
        <v>104</v>
      </c>
    </row>
    <row r="32" ht="15.75" customHeight="1">
      <c r="A32" s="1">
        <v>9.074430301E9</v>
      </c>
      <c r="B32" s="1" t="s">
        <v>77</v>
      </c>
      <c r="C32" s="1" t="s">
        <v>48</v>
      </c>
      <c r="D32" s="1">
        <v>1.0</v>
      </c>
      <c r="E32" s="1" t="s">
        <v>104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25.38"/>
    <col customWidth="1" min="3" max="9" width="17.75"/>
  </cols>
  <sheetData>
    <row r="1" ht="22.5" customHeight="1">
      <c r="A1" s="3" t="s">
        <v>210</v>
      </c>
      <c r="B1" s="4" t="s">
        <v>211</v>
      </c>
      <c r="C1" s="5" t="s">
        <v>212</v>
      </c>
      <c r="D1" s="4" t="s">
        <v>213</v>
      </c>
      <c r="E1" s="5" t="s">
        <v>69</v>
      </c>
      <c r="F1" s="5" t="s">
        <v>3</v>
      </c>
    </row>
    <row r="2" ht="22.5" customHeight="1">
      <c r="A2" s="6">
        <v>46185.0</v>
      </c>
      <c r="B2" s="7">
        <v>1001.0</v>
      </c>
      <c r="C2" s="8" t="s">
        <v>214</v>
      </c>
      <c r="D2" s="7" t="s">
        <v>214</v>
      </c>
      <c r="E2" s="8" t="s">
        <v>36</v>
      </c>
      <c r="F2" s="7">
        <v>1.0</v>
      </c>
    </row>
    <row r="3" ht="22.5" customHeight="1">
      <c r="A3" s="6">
        <v>46185.0</v>
      </c>
      <c r="B3" s="7">
        <v>1001.0</v>
      </c>
      <c r="C3" s="8" t="s">
        <v>214</v>
      </c>
      <c r="D3" s="7" t="s">
        <v>214</v>
      </c>
      <c r="E3" s="7" t="s">
        <v>158</v>
      </c>
      <c r="F3" s="7">
        <v>1.0</v>
      </c>
    </row>
    <row r="4" ht="22.5" customHeight="1">
      <c r="A4" s="6">
        <v>46185.0</v>
      </c>
      <c r="B4" s="7">
        <v>1001.0</v>
      </c>
      <c r="C4" s="8" t="s">
        <v>214</v>
      </c>
      <c r="D4" s="7" t="s">
        <v>214</v>
      </c>
      <c r="E4" s="8" t="s">
        <v>79</v>
      </c>
      <c r="F4" s="7">
        <v>1.0</v>
      </c>
    </row>
    <row r="5" ht="22.5" customHeight="1">
      <c r="A5" s="6">
        <v>46185.0</v>
      </c>
      <c r="B5" s="7">
        <v>1001.0</v>
      </c>
      <c r="C5" s="8" t="s">
        <v>214</v>
      </c>
      <c r="D5" s="7" t="s">
        <v>214</v>
      </c>
      <c r="E5" s="7" t="s">
        <v>215</v>
      </c>
      <c r="F5" s="7">
        <v>1.0</v>
      </c>
      <c r="I5" s="9"/>
    </row>
    <row r="6" ht="22.5" customHeight="1">
      <c r="A6" s="6">
        <v>46191.0</v>
      </c>
      <c r="B6" s="7">
        <v>1002.0</v>
      </c>
      <c r="C6" s="8" t="s">
        <v>77</v>
      </c>
      <c r="D6" s="7" t="s">
        <v>216</v>
      </c>
      <c r="E6" s="8" t="s">
        <v>80</v>
      </c>
      <c r="F6" s="7">
        <v>1.0</v>
      </c>
      <c r="I6" s="9"/>
    </row>
    <row r="7" ht="22.5" customHeight="1">
      <c r="A7" s="6">
        <v>46191.0</v>
      </c>
      <c r="B7" s="7">
        <v>1003.0</v>
      </c>
      <c r="C7" s="8" t="s">
        <v>58</v>
      </c>
      <c r="D7" s="7" t="s">
        <v>58</v>
      </c>
      <c r="E7" s="8" t="s">
        <v>79</v>
      </c>
      <c r="F7" s="7">
        <v>2.0</v>
      </c>
      <c r="I7" s="9"/>
    </row>
    <row r="8" ht="22.5" customHeight="1">
      <c r="A8" s="6">
        <v>46191.0</v>
      </c>
      <c r="B8" s="7">
        <v>1004.0</v>
      </c>
      <c r="C8" s="8" t="s">
        <v>58</v>
      </c>
      <c r="D8" s="7" t="s">
        <v>58</v>
      </c>
      <c r="E8" s="8" t="s">
        <v>175</v>
      </c>
      <c r="F8" s="7">
        <v>1.0</v>
      </c>
      <c r="I8" s="9"/>
    </row>
    <row r="9" ht="22.5" customHeight="1">
      <c r="A9" s="6">
        <v>46191.0</v>
      </c>
      <c r="B9" s="7">
        <v>1005.0</v>
      </c>
      <c r="C9" s="8" t="s">
        <v>217</v>
      </c>
      <c r="D9" s="7" t="s">
        <v>218</v>
      </c>
      <c r="E9" s="8" t="s">
        <v>36</v>
      </c>
      <c r="F9" s="7">
        <v>3.0</v>
      </c>
      <c r="I9" s="9"/>
    </row>
    <row r="10" ht="22.5" customHeight="1">
      <c r="A10" s="6">
        <v>46191.0</v>
      </c>
      <c r="B10" s="7">
        <v>1006.0</v>
      </c>
      <c r="C10" s="7" t="s">
        <v>219</v>
      </c>
      <c r="D10" s="7" t="s">
        <v>59</v>
      </c>
      <c r="E10" s="7" t="s">
        <v>80</v>
      </c>
      <c r="F10" s="7">
        <v>1.0</v>
      </c>
      <c r="I10" s="9"/>
    </row>
    <row r="11" ht="22.5" customHeight="1">
      <c r="A11" s="6">
        <v>46191.0</v>
      </c>
      <c r="B11" s="7">
        <v>1006.0</v>
      </c>
      <c r="C11" s="8" t="s">
        <v>219</v>
      </c>
      <c r="D11" s="7" t="s">
        <v>59</v>
      </c>
      <c r="E11" s="8" t="s">
        <v>80</v>
      </c>
      <c r="F11" s="7">
        <v>1.0</v>
      </c>
      <c r="I11" s="9"/>
    </row>
    <row r="12" ht="22.5" customHeight="1">
      <c r="A12" s="6">
        <v>46191.0</v>
      </c>
      <c r="B12" s="7">
        <v>1007.0</v>
      </c>
      <c r="C12" s="8" t="s">
        <v>220</v>
      </c>
      <c r="D12" s="7" t="s">
        <v>221</v>
      </c>
      <c r="E12" s="8" t="s">
        <v>36</v>
      </c>
      <c r="F12" s="7">
        <v>1.0</v>
      </c>
      <c r="I12" s="9"/>
    </row>
    <row r="13" ht="22.5" customHeight="1">
      <c r="A13" s="6">
        <v>46192.0</v>
      </c>
      <c r="B13" s="7">
        <v>1008.0</v>
      </c>
      <c r="C13" s="8" t="s">
        <v>66</v>
      </c>
      <c r="D13" s="7" t="s">
        <v>222</v>
      </c>
      <c r="E13" s="8" t="s">
        <v>180</v>
      </c>
      <c r="F13" s="7">
        <v>1.0</v>
      </c>
      <c r="I13" s="9"/>
    </row>
    <row r="14" ht="22.5" customHeight="1">
      <c r="A14" s="6">
        <v>46192.0</v>
      </c>
      <c r="B14" s="7">
        <v>1009.0</v>
      </c>
      <c r="C14" s="8" t="s">
        <v>19</v>
      </c>
      <c r="D14" s="7" t="s">
        <v>19</v>
      </c>
      <c r="E14" s="7" t="s">
        <v>98</v>
      </c>
      <c r="F14" s="7">
        <v>2.0</v>
      </c>
      <c r="I14" s="9"/>
    </row>
    <row r="15" ht="22.5" customHeight="1">
      <c r="A15" s="6">
        <v>46192.0</v>
      </c>
      <c r="B15" s="7">
        <v>1010.0</v>
      </c>
      <c r="C15" s="8" t="s">
        <v>223</v>
      </c>
      <c r="D15" s="7" t="s">
        <v>59</v>
      </c>
      <c r="E15" s="8" t="s">
        <v>68</v>
      </c>
      <c r="F15" s="7">
        <v>1.0</v>
      </c>
      <c r="I15" s="9"/>
    </row>
    <row r="16" ht="22.5" customHeight="1">
      <c r="A16" s="6">
        <v>46192.0</v>
      </c>
      <c r="B16" s="7">
        <v>1011.0</v>
      </c>
      <c r="C16" s="8" t="s">
        <v>220</v>
      </c>
      <c r="D16" s="7" t="s">
        <v>221</v>
      </c>
      <c r="E16" s="8" t="s">
        <v>176</v>
      </c>
      <c r="F16" s="7">
        <v>1.0</v>
      </c>
      <c r="I16" s="9"/>
    </row>
    <row r="17" ht="22.5" customHeight="1">
      <c r="A17" s="6">
        <v>46192.0</v>
      </c>
      <c r="B17" s="7">
        <v>1012.0</v>
      </c>
      <c r="C17" s="8" t="s">
        <v>220</v>
      </c>
      <c r="D17" s="7" t="s">
        <v>221</v>
      </c>
      <c r="E17" s="8" t="s">
        <v>78</v>
      </c>
      <c r="F17" s="7">
        <v>1.0</v>
      </c>
      <c r="I17" s="9"/>
    </row>
    <row r="18" ht="22.5" customHeight="1">
      <c r="A18" s="6">
        <v>46193.0</v>
      </c>
      <c r="B18" s="7">
        <v>1013.0</v>
      </c>
      <c r="C18" s="8" t="s">
        <v>224</v>
      </c>
      <c r="D18" s="7" t="s">
        <v>59</v>
      </c>
      <c r="E18" s="8" t="s">
        <v>68</v>
      </c>
      <c r="F18" s="7">
        <v>1.0</v>
      </c>
      <c r="I18" s="9"/>
    </row>
    <row r="19" ht="22.5" customHeight="1">
      <c r="A19" s="6">
        <v>46193.0</v>
      </c>
      <c r="B19" s="7">
        <v>1014.0</v>
      </c>
      <c r="C19" s="8" t="s">
        <v>225</v>
      </c>
      <c r="D19" s="7" t="s">
        <v>59</v>
      </c>
      <c r="E19" s="7" t="s">
        <v>98</v>
      </c>
      <c r="F19" s="7">
        <v>3.0</v>
      </c>
      <c r="I19" s="9"/>
    </row>
    <row r="20" ht="22.5" customHeight="1">
      <c r="A20" s="6">
        <v>46195.0</v>
      </c>
      <c r="B20" s="7">
        <v>1015.0</v>
      </c>
      <c r="C20" s="8" t="s">
        <v>226</v>
      </c>
      <c r="D20" s="7" t="s">
        <v>59</v>
      </c>
      <c r="E20" s="8" t="s">
        <v>227</v>
      </c>
      <c r="F20" s="7">
        <v>3.0</v>
      </c>
      <c r="I20" s="9"/>
    </row>
    <row r="21" ht="22.5" customHeight="1">
      <c r="A21" s="6">
        <v>46195.0</v>
      </c>
      <c r="B21" s="7">
        <v>1016.0</v>
      </c>
      <c r="C21" s="8" t="s">
        <v>228</v>
      </c>
      <c r="D21" s="7" t="s">
        <v>59</v>
      </c>
      <c r="E21" s="8" t="s">
        <v>79</v>
      </c>
      <c r="F21" s="7">
        <v>2.0</v>
      </c>
      <c r="I21" s="9"/>
    </row>
    <row r="22" ht="22.5" customHeight="1">
      <c r="A22" s="6">
        <v>46195.0</v>
      </c>
      <c r="B22" s="7">
        <v>1016.0</v>
      </c>
      <c r="C22" s="8" t="s">
        <v>228</v>
      </c>
      <c r="D22" s="7" t="s">
        <v>59</v>
      </c>
      <c r="E22" s="8" t="s">
        <v>68</v>
      </c>
      <c r="F22" s="7">
        <v>3.0</v>
      </c>
      <c r="I22" s="9"/>
    </row>
    <row r="23" ht="22.5" customHeight="1">
      <c r="A23" s="6">
        <v>46195.0</v>
      </c>
      <c r="B23" s="7">
        <v>1016.0</v>
      </c>
      <c r="C23" s="8" t="s">
        <v>228</v>
      </c>
      <c r="D23" s="7" t="s">
        <v>59</v>
      </c>
      <c r="E23" s="8" t="s">
        <v>89</v>
      </c>
      <c r="F23" s="7">
        <v>3.0</v>
      </c>
      <c r="I23" s="9"/>
    </row>
    <row r="24" ht="22.5" customHeight="1">
      <c r="A24" s="6">
        <v>46195.0</v>
      </c>
      <c r="B24" s="7">
        <v>1017.0</v>
      </c>
      <c r="C24" s="8" t="s">
        <v>229</v>
      </c>
      <c r="D24" s="7" t="s">
        <v>59</v>
      </c>
      <c r="E24" s="8" t="s">
        <v>189</v>
      </c>
      <c r="F24" s="7">
        <v>1.0</v>
      </c>
      <c r="I24" s="9"/>
    </row>
    <row r="25" ht="22.5" customHeight="1">
      <c r="A25" s="6">
        <v>46196.0</v>
      </c>
      <c r="B25" s="7">
        <v>1018.0</v>
      </c>
      <c r="C25" s="8" t="s">
        <v>230</v>
      </c>
      <c r="D25" s="7" t="s">
        <v>58</v>
      </c>
      <c r="E25" s="8" t="s">
        <v>36</v>
      </c>
      <c r="F25" s="7">
        <v>1.0</v>
      </c>
      <c r="I25" s="9"/>
    </row>
    <row r="26" ht="22.5" customHeight="1">
      <c r="A26" s="6">
        <v>46196.0</v>
      </c>
      <c r="B26" s="7">
        <v>1019.0</v>
      </c>
      <c r="C26" s="8" t="s">
        <v>54</v>
      </c>
      <c r="D26" s="7" t="s">
        <v>231</v>
      </c>
      <c r="E26" s="8" t="s">
        <v>36</v>
      </c>
      <c r="F26" s="7">
        <v>1.0</v>
      </c>
      <c r="I26" s="9"/>
    </row>
    <row r="27" ht="22.5" customHeight="1">
      <c r="A27" s="6">
        <v>46196.0</v>
      </c>
      <c r="B27" s="7">
        <v>1020.0</v>
      </c>
      <c r="C27" s="8" t="s">
        <v>232</v>
      </c>
      <c r="D27" s="7" t="s">
        <v>233</v>
      </c>
      <c r="E27" s="8" t="s">
        <v>68</v>
      </c>
      <c r="F27" s="7">
        <v>4.0</v>
      </c>
      <c r="I27" s="9"/>
    </row>
    <row r="28" ht="22.5" customHeight="1">
      <c r="A28" s="6">
        <v>46196.0</v>
      </c>
      <c r="B28" s="7">
        <v>1020.0</v>
      </c>
      <c r="C28" s="8" t="s">
        <v>232</v>
      </c>
      <c r="D28" s="7" t="s">
        <v>233</v>
      </c>
      <c r="E28" s="8" t="s">
        <v>36</v>
      </c>
      <c r="F28" s="7">
        <v>2.0</v>
      </c>
      <c r="I28" s="9"/>
    </row>
    <row r="29" ht="22.5" customHeight="1">
      <c r="A29" s="6">
        <v>46196.0</v>
      </c>
      <c r="B29" s="7">
        <v>1021.0</v>
      </c>
      <c r="C29" s="8" t="s">
        <v>234</v>
      </c>
      <c r="D29" s="7" t="s">
        <v>59</v>
      </c>
      <c r="E29" s="8" t="s">
        <v>36</v>
      </c>
      <c r="F29" s="7">
        <v>1.0</v>
      </c>
      <c r="I29" s="9"/>
    </row>
    <row r="30" ht="22.5" customHeight="1">
      <c r="A30" s="6">
        <v>46196.0</v>
      </c>
      <c r="B30" s="7">
        <v>1022.0</v>
      </c>
      <c r="C30" s="8" t="s">
        <v>235</v>
      </c>
      <c r="D30" s="7" t="s">
        <v>235</v>
      </c>
      <c r="E30" s="7" t="s">
        <v>236</v>
      </c>
      <c r="F30" s="7">
        <v>2.0</v>
      </c>
      <c r="I30" s="9"/>
    </row>
    <row r="31" ht="22.5" customHeight="1">
      <c r="A31" s="6">
        <v>46196.0</v>
      </c>
      <c r="B31" s="7">
        <v>1023.0</v>
      </c>
      <c r="C31" s="8" t="s">
        <v>237</v>
      </c>
      <c r="D31" s="7" t="s">
        <v>59</v>
      </c>
      <c r="E31" s="8" t="s">
        <v>36</v>
      </c>
      <c r="F31" s="7">
        <v>2.0</v>
      </c>
      <c r="I31" s="9"/>
    </row>
    <row r="32" ht="22.5" customHeight="1">
      <c r="A32" s="6">
        <v>46196.0</v>
      </c>
      <c r="B32" s="7">
        <v>1024.0</v>
      </c>
      <c r="C32" s="8" t="s">
        <v>225</v>
      </c>
      <c r="D32" s="7" t="s">
        <v>59</v>
      </c>
      <c r="E32" s="8" t="s">
        <v>36</v>
      </c>
      <c r="F32" s="7">
        <v>3.0</v>
      </c>
      <c r="I32" s="9"/>
    </row>
    <row r="33" ht="22.5" customHeight="1">
      <c r="A33" s="6">
        <v>46196.0</v>
      </c>
      <c r="B33" s="7">
        <v>1025.0</v>
      </c>
      <c r="C33" s="8" t="s">
        <v>193</v>
      </c>
      <c r="D33" s="7" t="s">
        <v>222</v>
      </c>
      <c r="E33" s="7" t="s">
        <v>215</v>
      </c>
      <c r="F33" s="7">
        <v>1.0</v>
      </c>
      <c r="I33" s="9"/>
    </row>
    <row r="34" ht="22.5" customHeight="1">
      <c r="A34" s="6">
        <v>46197.0</v>
      </c>
      <c r="B34" s="7">
        <v>1026.0</v>
      </c>
      <c r="C34" s="8" t="s">
        <v>238</v>
      </c>
      <c r="D34" s="7" t="s">
        <v>239</v>
      </c>
      <c r="E34" s="7" t="s">
        <v>98</v>
      </c>
      <c r="F34" s="7">
        <v>1.0</v>
      </c>
      <c r="I34" s="9"/>
    </row>
    <row r="35" ht="22.5" customHeight="1">
      <c r="A35" s="6">
        <v>46197.0</v>
      </c>
      <c r="B35" s="7">
        <v>1026.0</v>
      </c>
      <c r="C35" s="8" t="s">
        <v>238</v>
      </c>
      <c r="D35" s="7" t="s">
        <v>239</v>
      </c>
      <c r="E35" s="8" t="s">
        <v>36</v>
      </c>
      <c r="F35" s="7">
        <v>1.0</v>
      </c>
      <c r="I35" s="9"/>
    </row>
    <row r="36" ht="22.5" customHeight="1">
      <c r="A36" s="6">
        <v>46197.0</v>
      </c>
      <c r="B36" s="7">
        <v>1027.0</v>
      </c>
      <c r="C36" s="8" t="s">
        <v>5</v>
      </c>
      <c r="D36" s="7" t="s">
        <v>222</v>
      </c>
      <c r="E36" s="8" t="s">
        <v>68</v>
      </c>
      <c r="F36" s="7">
        <v>2.0</v>
      </c>
      <c r="I36" s="9"/>
    </row>
    <row r="37" ht="22.5" customHeight="1">
      <c r="A37" s="6">
        <v>46197.0</v>
      </c>
      <c r="B37" s="7">
        <v>1027.0</v>
      </c>
      <c r="C37" s="8" t="s">
        <v>5</v>
      </c>
      <c r="D37" s="7" t="s">
        <v>222</v>
      </c>
      <c r="E37" s="8" t="s">
        <v>79</v>
      </c>
      <c r="F37" s="7">
        <v>2.0</v>
      </c>
      <c r="I37" s="9"/>
    </row>
    <row r="38" ht="22.5" customHeight="1">
      <c r="A38" s="6">
        <v>46197.0</v>
      </c>
      <c r="B38" s="7">
        <v>1027.0</v>
      </c>
      <c r="C38" s="8" t="s">
        <v>5</v>
      </c>
      <c r="D38" s="7" t="s">
        <v>222</v>
      </c>
      <c r="E38" s="8" t="s">
        <v>227</v>
      </c>
      <c r="F38" s="7">
        <v>2.0</v>
      </c>
      <c r="I38" s="9"/>
    </row>
    <row r="39" ht="22.5" customHeight="1">
      <c r="A39" s="6">
        <v>46200.0</v>
      </c>
      <c r="B39" s="7">
        <v>1028.0</v>
      </c>
      <c r="C39" s="8" t="s">
        <v>77</v>
      </c>
      <c r="D39" s="7" t="s">
        <v>216</v>
      </c>
      <c r="E39" s="8" t="s">
        <v>15</v>
      </c>
      <c r="F39" s="7">
        <v>2.0</v>
      </c>
      <c r="I39" s="9"/>
    </row>
    <row r="40" ht="22.5" customHeight="1">
      <c r="A40" s="6">
        <v>46200.0</v>
      </c>
      <c r="B40" s="7">
        <v>1028.0</v>
      </c>
      <c r="C40" s="8" t="s">
        <v>77</v>
      </c>
      <c r="D40" s="7" t="s">
        <v>216</v>
      </c>
      <c r="E40" s="8" t="s">
        <v>68</v>
      </c>
      <c r="F40" s="7">
        <v>1.0</v>
      </c>
      <c r="I40" s="9"/>
    </row>
    <row r="41" ht="22.5" customHeight="1">
      <c r="A41" s="6">
        <v>46200.0</v>
      </c>
      <c r="B41" s="7">
        <v>1028.0</v>
      </c>
      <c r="C41" s="8" t="s">
        <v>77</v>
      </c>
      <c r="D41" s="7" t="s">
        <v>216</v>
      </c>
      <c r="E41" s="8" t="s">
        <v>48</v>
      </c>
      <c r="F41" s="7">
        <v>1.0</v>
      </c>
      <c r="I41" s="9"/>
    </row>
    <row r="42" ht="22.5" customHeight="1">
      <c r="A42" s="6">
        <v>46200.0</v>
      </c>
      <c r="B42" s="7">
        <v>1029.0</v>
      </c>
      <c r="C42" s="8" t="s">
        <v>77</v>
      </c>
      <c r="D42" s="7" t="s">
        <v>216</v>
      </c>
      <c r="E42" s="8" t="s">
        <v>68</v>
      </c>
      <c r="F42" s="7">
        <v>1.0</v>
      </c>
      <c r="I42" s="9"/>
    </row>
    <row r="43" ht="22.5" customHeight="1">
      <c r="A43" s="6">
        <v>46200.0</v>
      </c>
      <c r="B43" s="7">
        <v>1030.0</v>
      </c>
      <c r="C43" s="8" t="s">
        <v>19</v>
      </c>
      <c r="D43" s="7" t="s">
        <v>19</v>
      </c>
      <c r="E43" s="7" t="s">
        <v>215</v>
      </c>
      <c r="F43" s="7">
        <v>4.0</v>
      </c>
      <c r="I43" s="9"/>
    </row>
    <row r="44" ht="22.5" customHeight="1">
      <c r="A44" s="6">
        <v>46201.0</v>
      </c>
      <c r="B44" s="7">
        <v>1031.0</v>
      </c>
      <c r="C44" s="8" t="s">
        <v>240</v>
      </c>
      <c r="D44" s="7" t="s">
        <v>59</v>
      </c>
      <c r="E44" s="8" t="s">
        <v>68</v>
      </c>
      <c r="F44" s="7">
        <v>1.0</v>
      </c>
      <c r="I44" s="9"/>
    </row>
    <row r="45" ht="22.5" customHeight="1">
      <c r="A45" s="6">
        <v>46202.0</v>
      </c>
      <c r="B45" s="7">
        <v>1032.0</v>
      </c>
      <c r="C45" s="8" t="s">
        <v>225</v>
      </c>
      <c r="D45" s="7" t="s">
        <v>59</v>
      </c>
      <c r="E45" s="8" t="s">
        <v>227</v>
      </c>
      <c r="F45" s="7">
        <v>2.0</v>
      </c>
      <c r="I45" s="9"/>
    </row>
    <row r="46" ht="22.5" customHeight="1">
      <c r="A46" s="6">
        <v>46202.0</v>
      </c>
      <c r="B46" s="7">
        <v>1032.0</v>
      </c>
      <c r="C46" s="8" t="s">
        <v>225</v>
      </c>
      <c r="D46" s="7" t="s">
        <v>59</v>
      </c>
      <c r="E46" s="8" t="s">
        <v>79</v>
      </c>
      <c r="F46" s="7">
        <v>2.0</v>
      </c>
      <c r="I46" s="9"/>
    </row>
    <row r="47" ht="22.5" customHeight="1">
      <c r="A47" s="6">
        <v>46202.0</v>
      </c>
      <c r="B47" s="7">
        <v>1032.0</v>
      </c>
      <c r="C47" s="8" t="s">
        <v>225</v>
      </c>
      <c r="D47" s="7" t="s">
        <v>59</v>
      </c>
      <c r="E47" s="7" t="s">
        <v>80</v>
      </c>
      <c r="F47" s="7">
        <v>2.0</v>
      </c>
      <c r="I47" s="9"/>
    </row>
    <row r="48" ht="22.5" customHeight="1">
      <c r="A48" s="6">
        <v>46202.0</v>
      </c>
      <c r="B48" s="7">
        <v>1007.0</v>
      </c>
      <c r="C48" s="8" t="s">
        <v>220</v>
      </c>
      <c r="D48" s="7" t="s">
        <v>221</v>
      </c>
      <c r="E48" s="8" t="s">
        <v>89</v>
      </c>
      <c r="F48" s="7">
        <v>1.0</v>
      </c>
      <c r="I48" s="9"/>
    </row>
    <row r="49" ht="22.5" customHeight="1">
      <c r="A49" s="6">
        <v>46202.0</v>
      </c>
      <c r="B49" s="7">
        <v>1007.0</v>
      </c>
      <c r="C49" s="8" t="s">
        <v>220</v>
      </c>
      <c r="D49" s="7" t="s">
        <v>221</v>
      </c>
      <c r="E49" s="8" t="s">
        <v>79</v>
      </c>
      <c r="F49" s="7">
        <v>1.0</v>
      </c>
      <c r="I49" s="9"/>
    </row>
    <row r="50" ht="22.5" customHeight="1">
      <c r="A50" s="6">
        <v>46202.0</v>
      </c>
      <c r="B50" s="7">
        <v>1007.0</v>
      </c>
      <c r="C50" s="8" t="s">
        <v>220</v>
      </c>
      <c r="D50" s="7" t="s">
        <v>221</v>
      </c>
      <c r="E50" s="8" t="s">
        <v>78</v>
      </c>
      <c r="F50" s="7">
        <v>1.0</v>
      </c>
      <c r="I50" s="9"/>
    </row>
    <row r="51" ht="22.5" customHeight="1">
      <c r="A51" s="6">
        <v>46202.0</v>
      </c>
      <c r="B51" s="7">
        <v>1007.0</v>
      </c>
      <c r="C51" s="8" t="s">
        <v>220</v>
      </c>
      <c r="D51" s="7" t="s">
        <v>221</v>
      </c>
      <c r="E51" s="8" t="s">
        <v>36</v>
      </c>
      <c r="F51" s="7">
        <v>1.0</v>
      </c>
      <c r="I51" s="9"/>
    </row>
    <row r="52" ht="22.5" customHeight="1">
      <c r="A52" s="6">
        <v>46202.0</v>
      </c>
      <c r="B52" s="7">
        <v>1007.0</v>
      </c>
      <c r="C52" s="8" t="s">
        <v>220</v>
      </c>
      <c r="D52" s="7" t="s">
        <v>221</v>
      </c>
      <c r="E52" s="8" t="s">
        <v>241</v>
      </c>
      <c r="F52" s="7">
        <v>1.0</v>
      </c>
      <c r="I52" s="9"/>
    </row>
    <row r="53" ht="22.5" customHeight="1">
      <c r="A53" s="6">
        <v>46203.0</v>
      </c>
      <c r="B53" s="7">
        <v>1033.0</v>
      </c>
      <c r="C53" s="8" t="s">
        <v>77</v>
      </c>
      <c r="D53" s="7" t="s">
        <v>216</v>
      </c>
      <c r="E53" s="7" t="s">
        <v>98</v>
      </c>
      <c r="F53" s="7">
        <v>1.0</v>
      </c>
      <c r="I53" s="9"/>
    </row>
    <row r="54" ht="22.5" customHeight="1">
      <c r="A54" s="6">
        <v>46203.0</v>
      </c>
      <c r="B54" s="7">
        <v>1033.0</v>
      </c>
      <c r="C54" s="8" t="s">
        <v>77</v>
      </c>
      <c r="D54" s="7" t="s">
        <v>216</v>
      </c>
      <c r="E54" s="8" t="s">
        <v>48</v>
      </c>
      <c r="F54" s="7">
        <v>1.0</v>
      </c>
      <c r="I54" s="9"/>
    </row>
    <row r="55" ht="22.5" customHeight="1">
      <c r="A55" s="6">
        <v>46203.0</v>
      </c>
      <c r="B55" s="7">
        <v>1033.0</v>
      </c>
      <c r="C55" s="8" t="s">
        <v>77</v>
      </c>
      <c r="D55" s="7" t="s">
        <v>216</v>
      </c>
      <c r="E55" s="8" t="s">
        <v>36</v>
      </c>
      <c r="F55" s="7">
        <v>1.0</v>
      </c>
      <c r="I55" s="9"/>
    </row>
    <row r="56" ht="22.5" customHeight="1">
      <c r="A56" s="6">
        <v>46203.0</v>
      </c>
      <c r="B56" s="7">
        <v>1034.0</v>
      </c>
      <c r="C56" s="8" t="s">
        <v>66</v>
      </c>
      <c r="D56" s="7" t="s">
        <v>222</v>
      </c>
      <c r="E56" s="8" t="s">
        <v>176</v>
      </c>
      <c r="F56" s="7">
        <v>2.0</v>
      </c>
      <c r="I56" s="9"/>
    </row>
    <row r="57" ht="22.5" customHeight="1">
      <c r="A57" s="6">
        <v>46203.0</v>
      </c>
      <c r="B57" s="7">
        <v>1034.0</v>
      </c>
      <c r="C57" s="8" t="s">
        <v>222</v>
      </c>
      <c r="D57" s="7" t="s">
        <v>222</v>
      </c>
      <c r="E57" s="8" t="s">
        <v>68</v>
      </c>
      <c r="F57" s="7">
        <v>2.0</v>
      </c>
      <c r="I57" s="9"/>
    </row>
    <row r="58" ht="22.5" customHeight="1">
      <c r="A58" s="6">
        <v>46204.0</v>
      </c>
      <c r="B58" s="7">
        <v>1035.0</v>
      </c>
      <c r="C58" s="8" t="s">
        <v>77</v>
      </c>
      <c r="D58" s="7" t="s">
        <v>216</v>
      </c>
      <c r="E58" s="8" t="s">
        <v>89</v>
      </c>
      <c r="F58" s="7">
        <v>1.0</v>
      </c>
      <c r="I58" s="9"/>
    </row>
    <row r="59" ht="22.5" customHeight="1">
      <c r="A59" s="6">
        <v>46204.0</v>
      </c>
      <c r="B59" s="7">
        <v>1036.0</v>
      </c>
      <c r="C59" s="8" t="s">
        <v>38</v>
      </c>
      <c r="D59" s="7" t="s">
        <v>38</v>
      </c>
      <c r="E59" s="8" t="s">
        <v>36</v>
      </c>
      <c r="F59" s="7">
        <v>1.0</v>
      </c>
      <c r="I59" s="9"/>
    </row>
    <row r="60" ht="22.5" customHeight="1">
      <c r="A60" s="6">
        <v>46204.0</v>
      </c>
      <c r="B60" s="7">
        <v>1036.0</v>
      </c>
      <c r="C60" s="8" t="s">
        <v>38</v>
      </c>
      <c r="D60" s="7" t="s">
        <v>38</v>
      </c>
      <c r="E60" s="8" t="s">
        <v>89</v>
      </c>
      <c r="F60" s="7">
        <v>1.0</v>
      </c>
      <c r="I60" s="9"/>
    </row>
    <row r="61" ht="22.5" customHeight="1">
      <c r="A61" s="6">
        <v>46204.0</v>
      </c>
      <c r="B61" s="7">
        <v>1037.0</v>
      </c>
      <c r="C61" s="8" t="s">
        <v>5</v>
      </c>
      <c r="D61" s="7" t="s">
        <v>222</v>
      </c>
      <c r="E61" s="8" t="s">
        <v>36</v>
      </c>
      <c r="F61" s="7">
        <v>1.0</v>
      </c>
      <c r="I61" s="9"/>
    </row>
    <row r="62" ht="22.5" customHeight="1">
      <c r="A62" s="6">
        <v>46204.0</v>
      </c>
      <c r="B62" s="7">
        <v>1037.0</v>
      </c>
      <c r="C62" s="8" t="s">
        <v>5</v>
      </c>
      <c r="D62" s="7" t="s">
        <v>222</v>
      </c>
      <c r="E62" s="8" t="s">
        <v>68</v>
      </c>
      <c r="F62" s="7">
        <v>1.0</v>
      </c>
      <c r="I62" s="9"/>
    </row>
    <row r="63" ht="22.5" customHeight="1">
      <c r="A63" s="6">
        <v>46205.0</v>
      </c>
      <c r="B63" s="7">
        <v>1038.0</v>
      </c>
      <c r="C63" s="8" t="s">
        <v>242</v>
      </c>
      <c r="D63" s="7" t="s">
        <v>59</v>
      </c>
      <c r="E63" s="8" t="s">
        <v>36</v>
      </c>
      <c r="F63" s="7">
        <v>1.0</v>
      </c>
      <c r="I63" s="9"/>
    </row>
    <row r="64" ht="22.5" customHeight="1">
      <c r="A64" s="6">
        <v>46205.0</v>
      </c>
      <c r="B64" s="7">
        <v>1039.0</v>
      </c>
      <c r="C64" s="8" t="s">
        <v>225</v>
      </c>
      <c r="D64" s="7" t="s">
        <v>59</v>
      </c>
      <c r="E64" s="7" t="s">
        <v>98</v>
      </c>
      <c r="F64" s="7">
        <v>1.0</v>
      </c>
      <c r="I64" s="9"/>
    </row>
    <row r="65" ht="22.5" customHeight="1">
      <c r="A65" s="6">
        <v>46205.0</v>
      </c>
      <c r="B65" s="7">
        <v>1039.0</v>
      </c>
      <c r="C65" s="8" t="s">
        <v>225</v>
      </c>
      <c r="D65" s="7" t="s">
        <v>59</v>
      </c>
      <c r="E65" s="8" t="s">
        <v>36</v>
      </c>
      <c r="F65" s="7">
        <v>1.0</v>
      </c>
      <c r="I65" s="9"/>
    </row>
    <row r="66" ht="22.5" customHeight="1">
      <c r="A66" s="6">
        <v>46205.0</v>
      </c>
      <c r="B66" s="7">
        <v>1040.0</v>
      </c>
      <c r="C66" s="8" t="s">
        <v>5</v>
      </c>
      <c r="D66" s="7" t="s">
        <v>222</v>
      </c>
      <c r="E66" s="8" t="s">
        <v>176</v>
      </c>
      <c r="F66" s="7">
        <v>1.0</v>
      </c>
    </row>
    <row r="67" ht="22.5" customHeight="1">
      <c r="A67" s="6">
        <v>46206.0</v>
      </c>
      <c r="B67" s="7">
        <v>1041.0</v>
      </c>
      <c r="C67" s="8" t="s">
        <v>243</v>
      </c>
      <c r="D67" s="7" t="s">
        <v>222</v>
      </c>
      <c r="E67" s="7" t="s">
        <v>236</v>
      </c>
      <c r="F67" s="7">
        <v>3.0</v>
      </c>
    </row>
    <row r="68" ht="22.5" customHeight="1">
      <c r="A68" s="6">
        <v>46206.0</v>
      </c>
      <c r="B68" s="7">
        <v>1128.0</v>
      </c>
      <c r="C68" s="8" t="s">
        <v>38</v>
      </c>
      <c r="D68" s="7" t="s">
        <v>38</v>
      </c>
      <c r="E68" s="7" t="s">
        <v>244</v>
      </c>
      <c r="F68" s="7">
        <v>1.0</v>
      </c>
    </row>
    <row r="69" ht="22.5" customHeight="1">
      <c r="A69" s="6">
        <v>46206.0</v>
      </c>
      <c r="B69" s="7">
        <v>1129.0</v>
      </c>
      <c r="C69" s="8" t="s">
        <v>245</v>
      </c>
      <c r="D69" s="7" t="s">
        <v>246</v>
      </c>
      <c r="E69" s="8" t="s">
        <v>89</v>
      </c>
      <c r="F69" s="7">
        <v>4.0</v>
      </c>
    </row>
    <row r="70" ht="22.5" customHeight="1">
      <c r="A70" s="6">
        <v>46206.0</v>
      </c>
      <c r="B70" s="7">
        <v>1130.0</v>
      </c>
      <c r="C70" s="8" t="s">
        <v>245</v>
      </c>
      <c r="D70" s="7" t="s">
        <v>246</v>
      </c>
      <c r="E70" s="8" t="s">
        <v>36</v>
      </c>
      <c r="F70" s="7">
        <v>4.0</v>
      </c>
    </row>
    <row r="71" ht="22.5" customHeight="1">
      <c r="A71" s="6">
        <v>46206.0</v>
      </c>
      <c r="B71" s="7">
        <v>1130.0</v>
      </c>
      <c r="C71" s="8" t="s">
        <v>245</v>
      </c>
      <c r="D71" s="7" t="s">
        <v>246</v>
      </c>
      <c r="E71" s="8" t="s">
        <v>48</v>
      </c>
      <c r="F71" s="7">
        <v>1.0</v>
      </c>
    </row>
    <row r="72" ht="22.5" customHeight="1">
      <c r="A72" s="6">
        <v>46209.0</v>
      </c>
      <c r="B72" s="7">
        <v>1131.0</v>
      </c>
      <c r="C72" s="8" t="s">
        <v>77</v>
      </c>
      <c r="D72" s="7" t="s">
        <v>216</v>
      </c>
      <c r="E72" s="8" t="s">
        <v>68</v>
      </c>
      <c r="F72" s="7">
        <v>1.0</v>
      </c>
    </row>
    <row r="73" ht="22.5" customHeight="1">
      <c r="A73" s="6">
        <v>46209.0</v>
      </c>
      <c r="B73" s="7">
        <v>1132.0</v>
      </c>
      <c r="C73" s="8" t="s">
        <v>77</v>
      </c>
      <c r="D73" s="7" t="s">
        <v>216</v>
      </c>
      <c r="E73" s="8" t="s">
        <v>36</v>
      </c>
      <c r="F73" s="7">
        <v>1.0</v>
      </c>
    </row>
    <row r="74" ht="22.5" customHeight="1">
      <c r="A74" s="6">
        <v>46209.0</v>
      </c>
      <c r="B74" s="7">
        <v>1133.0</v>
      </c>
      <c r="C74" s="8" t="s">
        <v>54</v>
      </c>
      <c r="D74" s="7" t="s">
        <v>231</v>
      </c>
      <c r="E74" s="8" t="s">
        <v>79</v>
      </c>
      <c r="F74" s="7">
        <v>1.0</v>
      </c>
    </row>
    <row r="75" ht="22.5" customHeight="1">
      <c r="A75" s="6">
        <v>46209.0</v>
      </c>
      <c r="B75" s="7">
        <v>1133.0</v>
      </c>
      <c r="C75" s="8" t="s">
        <v>54</v>
      </c>
      <c r="D75" s="7" t="s">
        <v>231</v>
      </c>
      <c r="E75" s="8" t="s">
        <v>227</v>
      </c>
      <c r="F75" s="7">
        <v>2.0</v>
      </c>
    </row>
    <row r="76" ht="22.5" customHeight="1">
      <c r="A76" s="6">
        <v>46209.0</v>
      </c>
      <c r="B76" s="7">
        <v>1042.0</v>
      </c>
      <c r="C76" s="8" t="s">
        <v>38</v>
      </c>
      <c r="D76" s="7" t="s">
        <v>38</v>
      </c>
      <c r="E76" s="7" t="s">
        <v>241</v>
      </c>
      <c r="F76" s="7">
        <v>1.0</v>
      </c>
    </row>
    <row r="77" ht="22.5" customHeight="1">
      <c r="A77" s="6">
        <v>46209.0</v>
      </c>
      <c r="B77" s="7">
        <v>1043.0</v>
      </c>
      <c r="C77" s="8" t="s">
        <v>38</v>
      </c>
      <c r="D77" s="7" t="s">
        <v>38</v>
      </c>
      <c r="E77" s="8" t="s">
        <v>79</v>
      </c>
      <c r="F77" s="7">
        <v>1.0</v>
      </c>
    </row>
    <row r="78" ht="22.5" customHeight="1">
      <c r="A78" s="6">
        <v>46209.0</v>
      </c>
      <c r="B78" s="7">
        <v>1134.0</v>
      </c>
      <c r="C78" s="8" t="s">
        <v>38</v>
      </c>
      <c r="D78" s="7" t="s">
        <v>38</v>
      </c>
      <c r="E78" s="7" t="s">
        <v>80</v>
      </c>
      <c r="F78" s="7">
        <v>1.0</v>
      </c>
    </row>
    <row r="79" ht="22.5" customHeight="1">
      <c r="A79" s="6">
        <v>46209.0</v>
      </c>
      <c r="B79" s="7">
        <v>1134.0</v>
      </c>
      <c r="C79" s="8" t="s">
        <v>38</v>
      </c>
      <c r="D79" s="7" t="s">
        <v>38</v>
      </c>
      <c r="E79" s="8" t="s">
        <v>180</v>
      </c>
      <c r="F79" s="7">
        <v>1.0</v>
      </c>
    </row>
    <row r="80" ht="22.5" customHeight="1">
      <c r="A80" s="6">
        <v>46209.0</v>
      </c>
      <c r="B80" s="7">
        <v>1134.0</v>
      </c>
      <c r="C80" s="8" t="s">
        <v>38</v>
      </c>
      <c r="D80" s="7" t="s">
        <v>38</v>
      </c>
      <c r="E80" s="8" t="s">
        <v>89</v>
      </c>
      <c r="F80" s="7">
        <v>1.0</v>
      </c>
    </row>
    <row r="81" ht="22.5" customHeight="1">
      <c r="A81" s="6">
        <v>46209.0</v>
      </c>
      <c r="B81" s="7">
        <v>1044.0</v>
      </c>
      <c r="C81" s="8" t="s">
        <v>52</v>
      </c>
      <c r="D81" s="7" t="s">
        <v>216</v>
      </c>
      <c r="E81" s="8" t="s">
        <v>79</v>
      </c>
      <c r="F81" s="7">
        <v>2.0</v>
      </c>
    </row>
    <row r="82" ht="22.5" customHeight="1">
      <c r="A82" s="6">
        <v>46209.0</v>
      </c>
      <c r="B82" s="7">
        <v>1044.0</v>
      </c>
      <c r="C82" s="8" t="s">
        <v>52</v>
      </c>
      <c r="D82" s="7" t="s">
        <v>216</v>
      </c>
      <c r="E82" s="8" t="s">
        <v>36</v>
      </c>
      <c r="F82" s="7">
        <v>2.0</v>
      </c>
    </row>
    <row r="83" ht="22.5" customHeight="1">
      <c r="A83" s="6">
        <v>46210.0</v>
      </c>
      <c r="B83" s="7">
        <v>1135.0</v>
      </c>
      <c r="C83" s="8" t="s">
        <v>247</v>
      </c>
      <c r="D83" s="7" t="s">
        <v>248</v>
      </c>
      <c r="E83" s="8" t="s">
        <v>36</v>
      </c>
      <c r="F83" s="7">
        <v>1.0</v>
      </c>
    </row>
    <row r="84" ht="22.5" customHeight="1">
      <c r="A84" s="6">
        <v>46210.0</v>
      </c>
      <c r="B84" s="7">
        <v>1045.0</v>
      </c>
      <c r="C84" s="8" t="s">
        <v>77</v>
      </c>
      <c r="D84" s="7" t="s">
        <v>216</v>
      </c>
      <c r="E84" s="7" t="s">
        <v>98</v>
      </c>
      <c r="F84" s="7">
        <v>2.0</v>
      </c>
    </row>
    <row r="85" ht="22.5" customHeight="1">
      <c r="A85" s="6">
        <v>46210.0</v>
      </c>
      <c r="B85" s="7">
        <v>1136.0</v>
      </c>
      <c r="C85" s="8" t="s">
        <v>77</v>
      </c>
      <c r="D85" s="7" t="s">
        <v>216</v>
      </c>
      <c r="E85" s="7" t="s">
        <v>236</v>
      </c>
      <c r="F85" s="7">
        <v>1.0</v>
      </c>
    </row>
    <row r="86" ht="22.5" customHeight="1">
      <c r="A86" s="6">
        <v>46210.0</v>
      </c>
      <c r="B86" s="7">
        <v>1136.0</v>
      </c>
      <c r="C86" s="8" t="s">
        <v>77</v>
      </c>
      <c r="D86" s="7" t="s">
        <v>216</v>
      </c>
      <c r="E86" s="8" t="s">
        <v>249</v>
      </c>
      <c r="F86" s="7">
        <v>1.0</v>
      </c>
    </row>
    <row r="87" ht="22.5" customHeight="1">
      <c r="A87" s="6">
        <v>46210.0</v>
      </c>
      <c r="B87" s="7">
        <v>1046.0</v>
      </c>
      <c r="C87" s="8" t="s">
        <v>58</v>
      </c>
      <c r="D87" s="7" t="s">
        <v>58</v>
      </c>
      <c r="E87" s="7" t="s">
        <v>98</v>
      </c>
      <c r="F87" s="7">
        <v>1.0</v>
      </c>
    </row>
    <row r="88" ht="22.5" customHeight="1">
      <c r="A88" s="6">
        <v>46210.0</v>
      </c>
      <c r="B88" s="7">
        <v>1047.0</v>
      </c>
      <c r="C88" s="8" t="s">
        <v>54</v>
      </c>
      <c r="D88" s="7" t="s">
        <v>231</v>
      </c>
      <c r="E88" s="8" t="s">
        <v>36</v>
      </c>
      <c r="F88" s="7">
        <v>1.0</v>
      </c>
    </row>
    <row r="89" ht="22.5" customHeight="1">
      <c r="A89" s="6">
        <v>46210.0</v>
      </c>
      <c r="B89" s="7">
        <v>1048.0</v>
      </c>
      <c r="C89" s="8" t="s">
        <v>38</v>
      </c>
      <c r="D89" s="7" t="s">
        <v>38</v>
      </c>
      <c r="E89" s="8" t="s">
        <v>227</v>
      </c>
      <c r="F89" s="7">
        <v>1.0</v>
      </c>
    </row>
    <row r="90" ht="22.5" customHeight="1">
      <c r="A90" s="6">
        <v>46210.0</v>
      </c>
      <c r="B90" s="7">
        <v>1049.0</v>
      </c>
      <c r="C90" s="8" t="s">
        <v>59</v>
      </c>
      <c r="D90" s="7" t="s">
        <v>59</v>
      </c>
      <c r="E90" s="8" t="s">
        <v>48</v>
      </c>
      <c r="F90" s="7">
        <v>1.0</v>
      </c>
    </row>
    <row r="91" ht="22.5" customHeight="1">
      <c r="A91" s="6">
        <v>46210.0</v>
      </c>
      <c r="B91" s="7">
        <v>1050.0</v>
      </c>
      <c r="C91" s="8" t="s">
        <v>220</v>
      </c>
      <c r="D91" s="7" t="s">
        <v>221</v>
      </c>
      <c r="E91" s="8" t="s">
        <v>78</v>
      </c>
      <c r="F91" s="7">
        <v>1.0</v>
      </c>
    </row>
    <row r="92" ht="22.5" customHeight="1">
      <c r="A92" s="6">
        <v>46211.0</v>
      </c>
      <c r="B92" s="7">
        <v>1051.0</v>
      </c>
      <c r="C92" s="8" t="s">
        <v>77</v>
      </c>
      <c r="D92" s="7" t="s">
        <v>216</v>
      </c>
      <c r="E92" s="8" t="s">
        <v>250</v>
      </c>
      <c r="F92" s="7">
        <v>1.0</v>
      </c>
    </row>
    <row r="93" ht="22.5" customHeight="1">
      <c r="A93" s="6">
        <v>46211.0</v>
      </c>
      <c r="B93" s="7">
        <v>1052.0</v>
      </c>
      <c r="C93" s="8" t="s">
        <v>66</v>
      </c>
      <c r="D93" s="7" t="s">
        <v>222</v>
      </c>
      <c r="E93" s="8" t="s">
        <v>250</v>
      </c>
      <c r="F93" s="7">
        <v>1.0</v>
      </c>
    </row>
    <row r="94" ht="22.5" customHeight="1">
      <c r="A94" s="6">
        <v>46211.0</v>
      </c>
      <c r="B94" s="7">
        <v>1053.0</v>
      </c>
      <c r="C94" s="8" t="s">
        <v>220</v>
      </c>
      <c r="D94" s="7" t="s">
        <v>221</v>
      </c>
      <c r="E94" s="7" t="s">
        <v>98</v>
      </c>
      <c r="F94" s="7">
        <v>1.0</v>
      </c>
    </row>
    <row r="95" ht="22.5" customHeight="1">
      <c r="A95" s="6">
        <v>46211.0</v>
      </c>
      <c r="B95" s="7">
        <v>1054.0</v>
      </c>
      <c r="C95" s="8" t="s">
        <v>220</v>
      </c>
      <c r="D95" s="7" t="s">
        <v>221</v>
      </c>
      <c r="E95" s="7" t="s">
        <v>215</v>
      </c>
      <c r="F95" s="7">
        <v>3.0</v>
      </c>
    </row>
    <row r="96" ht="22.5" customHeight="1">
      <c r="A96" s="6">
        <v>46211.0</v>
      </c>
      <c r="B96" s="7">
        <v>1054.0</v>
      </c>
      <c r="C96" s="8" t="s">
        <v>220</v>
      </c>
      <c r="D96" s="7" t="s">
        <v>221</v>
      </c>
      <c r="E96" s="8" t="s">
        <v>68</v>
      </c>
      <c r="F96" s="7">
        <v>2.0</v>
      </c>
    </row>
    <row r="97" ht="22.5" customHeight="1">
      <c r="A97" s="6">
        <v>46212.0</v>
      </c>
      <c r="B97" s="7">
        <v>1055.0</v>
      </c>
      <c r="C97" s="8" t="s">
        <v>59</v>
      </c>
      <c r="D97" s="7" t="s">
        <v>59</v>
      </c>
      <c r="E97" s="8" t="s">
        <v>68</v>
      </c>
      <c r="F97" s="7">
        <v>1.0</v>
      </c>
    </row>
    <row r="98" ht="22.5" customHeight="1">
      <c r="A98" s="6">
        <v>46212.0</v>
      </c>
      <c r="B98" s="7">
        <v>1056.0</v>
      </c>
      <c r="C98" s="8" t="s">
        <v>59</v>
      </c>
      <c r="D98" s="7" t="s">
        <v>59</v>
      </c>
      <c r="E98" s="8" t="s">
        <v>199</v>
      </c>
      <c r="F98" s="7">
        <v>1.0</v>
      </c>
    </row>
    <row r="99" ht="22.5" customHeight="1">
      <c r="A99" s="6">
        <v>46212.0</v>
      </c>
      <c r="B99" s="7">
        <v>1057.0</v>
      </c>
      <c r="C99" s="8" t="s">
        <v>52</v>
      </c>
      <c r="D99" s="7" t="s">
        <v>216</v>
      </c>
      <c r="E99" s="8" t="s">
        <v>36</v>
      </c>
      <c r="F99" s="7">
        <v>2.0</v>
      </c>
    </row>
    <row r="100" ht="22.5" customHeight="1">
      <c r="A100" s="6">
        <v>46212.0</v>
      </c>
      <c r="B100" s="7">
        <v>1057.0</v>
      </c>
      <c r="C100" s="8" t="s">
        <v>52</v>
      </c>
      <c r="D100" s="7" t="s">
        <v>216</v>
      </c>
      <c r="E100" s="7" t="s">
        <v>80</v>
      </c>
      <c r="F100" s="7">
        <v>2.0</v>
      </c>
    </row>
    <row r="101" ht="22.5" customHeight="1">
      <c r="A101" s="6">
        <v>46212.0</v>
      </c>
      <c r="B101" s="7">
        <v>1057.0</v>
      </c>
      <c r="C101" s="8" t="s">
        <v>52</v>
      </c>
      <c r="D101" s="7" t="s">
        <v>216</v>
      </c>
      <c r="E101" s="7" t="s">
        <v>80</v>
      </c>
      <c r="F101" s="7">
        <v>1.0</v>
      </c>
    </row>
    <row r="102" ht="22.5" customHeight="1">
      <c r="A102" s="6">
        <v>46213.0</v>
      </c>
      <c r="B102" s="7">
        <v>1058.0</v>
      </c>
      <c r="C102" s="8" t="s">
        <v>58</v>
      </c>
      <c r="D102" s="7" t="s">
        <v>58</v>
      </c>
      <c r="E102" s="8" t="s">
        <v>200</v>
      </c>
      <c r="F102" s="7">
        <v>1.0</v>
      </c>
    </row>
    <row r="103" ht="22.5" customHeight="1">
      <c r="A103" s="6">
        <v>46213.0</v>
      </c>
      <c r="B103" s="7">
        <v>1058.0</v>
      </c>
      <c r="C103" s="8" t="s">
        <v>58</v>
      </c>
      <c r="D103" s="7" t="s">
        <v>58</v>
      </c>
      <c r="E103" s="8" t="s">
        <v>79</v>
      </c>
      <c r="F103" s="7">
        <v>2.0</v>
      </c>
    </row>
    <row r="104" ht="22.5" customHeight="1">
      <c r="A104" s="6">
        <v>46215.0</v>
      </c>
      <c r="B104" s="7">
        <v>1059.0</v>
      </c>
      <c r="C104" s="8" t="s">
        <v>77</v>
      </c>
      <c r="D104" s="7" t="s">
        <v>216</v>
      </c>
      <c r="E104" s="8" t="s">
        <v>227</v>
      </c>
      <c r="F104" s="7">
        <v>1.0</v>
      </c>
    </row>
    <row r="105" ht="22.5" customHeight="1">
      <c r="A105" s="6">
        <v>46215.0</v>
      </c>
      <c r="B105" s="7">
        <v>1058.0</v>
      </c>
      <c r="C105" s="8" t="s">
        <v>58</v>
      </c>
      <c r="D105" s="7" t="s">
        <v>58</v>
      </c>
      <c r="E105" s="8" t="s">
        <v>68</v>
      </c>
      <c r="F105" s="7">
        <v>1.0</v>
      </c>
    </row>
    <row r="106" ht="22.5" customHeight="1">
      <c r="A106" s="6">
        <v>46215.0</v>
      </c>
      <c r="B106" s="7">
        <v>1060.0</v>
      </c>
      <c r="C106" s="8" t="s">
        <v>5</v>
      </c>
      <c r="D106" s="7" t="s">
        <v>222</v>
      </c>
      <c r="E106" s="8" t="s">
        <v>201</v>
      </c>
      <c r="F106" s="7">
        <v>1.0</v>
      </c>
    </row>
    <row r="107" ht="22.5" customHeight="1">
      <c r="A107" s="6">
        <v>46217.0</v>
      </c>
      <c r="B107" s="7">
        <v>1059.0</v>
      </c>
      <c r="C107" s="8" t="s">
        <v>77</v>
      </c>
      <c r="D107" s="7" t="s">
        <v>216</v>
      </c>
      <c r="E107" s="8" t="s">
        <v>68</v>
      </c>
      <c r="F107" s="7">
        <v>1.0</v>
      </c>
    </row>
    <row r="108" ht="22.5" customHeight="1">
      <c r="A108" s="6">
        <v>46217.0</v>
      </c>
      <c r="B108" s="7">
        <v>1059.0</v>
      </c>
      <c r="C108" s="8" t="s">
        <v>77</v>
      </c>
      <c r="D108" s="7" t="s">
        <v>216</v>
      </c>
      <c r="E108" s="8" t="s">
        <v>68</v>
      </c>
      <c r="F108" s="7">
        <v>1.0</v>
      </c>
    </row>
    <row r="109" ht="22.5" customHeight="1">
      <c r="A109" s="6">
        <v>46217.0</v>
      </c>
      <c r="B109" s="7">
        <v>1061.0</v>
      </c>
      <c r="C109" s="8" t="s">
        <v>77</v>
      </c>
      <c r="D109" s="7" t="s">
        <v>216</v>
      </c>
      <c r="E109" s="7" t="s">
        <v>251</v>
      </c>
      <c r="F109" s="7">
        <v>2.0</v>
      </c>
    </row>
    <row r="110" ht="22.5" customHeight="1">
      <c r="A110" s="6">
        <v>46217.0</v>
      </c>
      <c r="B110" s="7">
        <v>1061.0</v>
      </c>
      <c r="C110" s="8" t="s">
        <v>77</v>
      </c>
      <c r="D110" s="7" t="s">
        <v>216</v>
      </c>
      <c r="E110" s="7" t="s">
        <v>126</v>
      </c>
      <c r="F110" s="7">
        <v>2.0</v>
      </c>
    </row>
    <row r="111" ht="22.5" customHeight="1">
      <c r="A111" s="6">
        <v>46217.0</v>
      </c>
      <c r="B111" s="7">
        <v>1061.0</v>
      </c>
      <c r="C111" s="8" t="s">
        <v>77</v>
      </c>
      <c r="D111" s="7" t="s">
        <v>216</v>
      </c>
      <c r="E111" s="8" t="s">
        <v>207</v>
      </c>
      <c r="F111" s="7">
        <v>1.0</v>
      </c>
    </row>
    <row r="112" ht="22.5" customHeight="1">
      <c r="A112" s="6">
        <v>46217.0</v>
      </c>
      <c r="B112" s="7">
        <v>1062.0</v>
      </c>
      <c r="C112" s="8" t="s">
        <v>74</v>
      </c>
      <c r="D112" s="7" t="s">
        <v>252</v>
      </c>
      <c r="E112" s="7" t="s">
        <v>80</v>
      </c>
      <c r="F112" s="7">
        <v>1.0</v>
      </c>
    </row>
    <row r="113" ht="22.5" customHeight="1">
      <c r="A113" s="6">
        <v>46217.0</v>
      </c>
      <c r="B113" s="7">
        <v>1063.0</v>
      </c>
      <c r="C113" s="8" t="s">
        <v>74</v>
      </c>
      <c r="D113" s="7" t="s">
        <v>252</v>
      </c>
      <c r="E113" s="8" t="s">
        <v>36</v>
      </c>
      <c r="F113" s="7">
        <v>2.0</v>
      </c>
    </row>
    <row r="114" ht="22.5" customHeight="1">
      <c r="A114" s="6">
        <v>46217.0</v>
      </c>
      <c r="B114" s="7">
        <v>1064.0</v>
      </c>
      <c r="C114" s="8" t="s">
        <v>203</v>
      </c>
      <c r="D114" s="7" t="s">
        <v>222</v>
      </c>
      <c r="E114" s="8" t="s">
        <v>227</v>
      </c>
      <c r="F114" s="7">
        <v>2.0</v>
      </c>
    </row>
    <row r="115" ht="22.5" customHeight="1">
      <c r="A115" s="6">
        <v>46217.0</v>
      </c>
      <c r="B115" s="7">
        <v>1064.0</v>
      </c>
      <c r="C115" s="8" t="s">
        <v>203</v>
      </c>
      <c r="D115" s="7" t="s">
        <v>222</v>
      </c>
      <c r="E115" s="8" t="s">
        <v>36</v>
      </c>
      <c r="F115" s="7">
        <v>1.0</v>
      </c>
    </row>
    <row r="116" ht="22.5" customHeight="1">
      <c r="A116" s="6">
        <v>46217.0</v>
      </c>
      <c r="B116" s="7">
        <v>1064.0</v>
      </c>
      <c r="C116" s="8" t="s">
        <v>203</v>
      </c>
      <c r="D116" s="7" t="s">
        <v>222</v>
      </c>
      <c r="E116" s="8" t="s">
        <v>48</v>
      </c>
      <c r="F116" s="7">
        <v>1.0</v>
      </c>
    </row>
    <row r="117" ht="22.5" customHeight="1">
      <c r="A117" s="6">
        <v>46217.0</v>
      </c>
      <c r="B117" s="7">
        <v>1065.0</v>
      </c>
      <c r="C117" s="8" t="s">
        <v>203</v>
      </c>
      <c r="D117" s="7" t="s">
        <v>222</v>
      </c>
      <c r="E117" s="8" t="s">
        <v>79</v>
      </c>
      <c r="F117" s="7">
        <v>1.0</v>
      </c>
    </row>
    <row r="118" ht="22.5" customHeight="1">
      <c r="A118" s="6">
        <v>46217.0</v>
      </c>
      <c r="B118" s="7">
        <v>1065.0</v>
      </c>
      <c r="C118" s="8" t="s">
        <v>203</v>
      </c>
      <c r="D118" s="7" t="s">
        <v>222</v>
      </c>
      <c r="E118" s="8" t="s">
        <v>227</v>
      </c>
      <c r="F118" s="7">
        <v>1.0</v>
      </c>
    </row>
    <row r="119" ht="22.5" customHeight="1">
      <c r="A119" s="6">
        <v>46217.0</v>
      </c>
      <c r="B119" s="7">
        <v>1066.0</v>
      </c>
      <c r="C119" s="8" t="s">
        <v>66</v>
      </c>
      <c r="D119" s="7" t="s">
        <v>222</v>
      </c>
      <c r="E119" s="8" t="s">
        <v>227</v>
      </c>
      <c r="F119" s="7">
        <v>3.0</v>
      </c>
    </row>
    <row r="120" ht="22.5" customHeight="1">
      <c r="A120" s="6">
        <v>46217.0</v>
      </c>
      <c r="B120" s="7">
        <v>1066.0</v>
      </c>
      <c r="C120" s="8" t="s">
        <v>66</v>
      </c>
      <c r="D120" s="7" t="s">
        <v>222</v>
      </c>
      <c r="E120" s="7" t="s">
        <v>98</v>
      </c>
      <c r="F120" s="7">
        <v>1.0</v>
      </c>
    </row>
    <row r="121" ht="22.5" customHeight="1">
      <c r="A121" s="6">
        <v>46217.0</v>
      </c>
      <c r="B121" s="7">
        <v>1067.0</v>
      </c>
      <c r="C121" s="8" t="s">
        <v>5</v>
      </c>
      <c r="D121" s="7" t="s">
        <v>222</v>
      </c>
      <c r="E121" s="8" t="s">
        <v>227</v>
      </c>
      <c r="F121" s="7">
        <v>1.0</v>
      </c>
    </row>
    <row r="122" ht="22.5" customHeight="1">
      <c r="A122" s="6">
        <v>46217.0</v>
      </c>
      <c r="B122" s="7">
        <v>1068.0</v>
      </c>
      <c r="C122" s="8" t="s">
        <v>5</v>
      </c>
      <c r="D122" s="7" t="s">
        <v>222</v>
      </c>
      <c r="E122" s="8" t="s">
        <v>48</v>
      </c>
      <c r="F122" s="7">
        <v>1.0</v>
      </c>
    </row>
    <row r="123" ht="22.5" customHeight="1">
      <c r="A123" s="6">
        <v>46217.0</v>
      </c>
      <c r="B123" s="7">
        <v>1069.0</v>
      </c>
      <c r="C123" s="8" t="s">
        <v>52</v>
      </c>
      <c r="D123" s="7" t="s">
        <v>216</v>
      </c>
      <c r="E123" s="8" t="s">
        <v>68</v>
      </c>
      <c r="F123" s="7">
        <v>1.0</v>
      </c>
    </row>
    <row r="124" ht="22.5" customHeight="1">
      <c r="A124" s="6">
        <v>46217.0</v>
      </c>
      <c r="B124" s="7">
        <v>1070.0</v>
      </c>
      <c r="C124" s="8" t="s">
        <v>253</v>
      </c>
      <c r="D124" s="7" t="s">
        <v>58</v>
      </c>
      <c r="E124" s="8" t="s">
        <v>36</v>
      </c>
      <c r="F124" s="7">
        <v>2.0</v>
      </c>
    </row>
    <row r="125" ht="22.5" customHeight="1">
      <c r="A125" s="6">
        <v>46218.0</v>
      </c>
      <c r="B125" s="7">
        <v>1071.0</v>
      </c>
      <c r="C125" s="8" t="s">
        <v>77</v>
      </c>
      <c r="D125" s="7" t="s">
        <v>216</v>
      </c>
      <c r="E125" s="7" t="s">
        <v>175</v>
      </c>
      <c r="F125" s="7">
        <v>2.0</v>
      </c>
    </row>
    <row r="126" ht="22.5" customHeight="1">
      <c r="A126" s="6">
        <v>46218.0</v>
      </c>
      <c r="B126" s="7">
        <v>1072.0</v>
      </c>
      <c r="C126" s="8" t="s">
        <v>77</v>
      </c>
      <c r="D126" s="7" t="s">
        <v>216</v>
      </c>
      <c r="E126" s="8" t="s">
        <v>48</v>
      </c>
      <c r="F126" s="7">
        <v>1.0</v>
      </c>
    </row>
    <row r="127" ht="22.5" customHeight="1">
      <c r="A127" s="6">
        <v>46218.0</v>
      </c>
      <c r="B127" s="7">
        <v>1073.0</v>
      </c>
      <c r="C127" s="8" t="s">
        <v>38</v>
      </c>
      <c r="D127" s="7" t="s">
        <v>38</v>
      </c>
      <c r="E127" s="8" t="s">
        <v>36</v>
      </c>
      <c r="F127" s="7">
        <v>1.0</v>
      </c>
    </row>
    <row r="128" ht="22.5" customHeight="1">
      <c r="A128" s="6">
        <v>46218.0</v>
      </c>
      <c r="B128" s="7">
        <v>1074.0</v>
      </c>
      <c r="C128" s="8" t="s">
        <v>254</v>
      </c>
      <c r="D128" s="7" t="s">
        <v>59</v>
      </c>
      <c r="E128" s="8" t="s">
        <v>227</v>
      </c>
      <c r="F128" s="7">
        <v>2.0</v>
      </c>
    </row>
    <row r="129" ht="22.5" customHeight="1">
      <c r="A129" s="6">
        <v>46218.0</v>
      </c>
      <c r="B129" s="7">
        <v>1144.0</v>
      </c>
      <c r="C129" s="8" t="s">
        <v>254</v>
      </c>
      <c r="D129" s="7" t="s">
        <v>59</v>
      </c>
      <c r="E129" s="7" t="s">
        <v>80</v>
      </c>
      <c r="F129" s="7">
        <v>1.0</v>
      </c>
    </row>
    <row r="130" ht="22.5" customHeight="1">
      <c r="A130" s="6">
        <v>46218.0</v>
      </c>
      <c r="B130" s="7">
        <v>1075.0</v>
      </c>
      <c r="C130" s="8" t="s">
        <v>255</v>
      </c>
      <c r="D130" s="7" t="s">
        <v>38</v>
      </c>
      <c r="E130" s="8" t="s">
        <v>36</v>
      </c>
      <c r="F130" s="7">
        <v>1.0</v>
      </c>
    </row>
    <row r="131" ht="22.5" customHeight="1">
      <c r="A131" s="6">
        <v>46218.0</v>
      </c>
      <c r="B131" s="7">
        <v>1137.0</v>
      </c>
      <c r="C131" s="8" t="s">
        <v>115</v>
      </c>
      <c r="D131" s="7" t="s">
        <v>248</v>
      </c>
      <c r="E131" s="8" t="s">
        <v>68</v>
      </c>
      <c r="F131" s="7">
        <v>2.0</v>
      </c>
    </row>
    <row r="132" ht="22.5" customHeight="1">
      <c r="A132" s="6">
        <v>46218.0</v>
      </c>
      <c r="B132" s="7">
        <v>1138.0</v>
      </c>
      <c r="C132" s="8"/>
      <c r="D132" s="7" t="s">
        <v>239</v>
      </c>
      <c r="E132" s="8" t="s">
        <v>256</v>
      </c>
      <c r="F132" s="7">
        <v>1.0</v>
      </c>
    </row>
    <row r="133" ht="22.5" customHeight="1">
      <c r="A133" s="6">
        <v>46219.0</v>
      </c>
      <c r="B133" s="7">
        <v>1076.0</v>
      </c>
      <c r="C133" s="8" t="s">
        <v>74</v>
      </c>
      <c r="D133" s="7" t="s">
        <v>252</v>
      </c>
      <c r="E133" s="7" t="s">
        <v>158</v>
      </c>
      <c r="F133" s="7">
        <v>1.0</v>
      </c>
    </row>
    <row r="134" ht="22.5" customHeight="1">
      <c r="A134" s="6">
        <v>46219.0</v>
      </c>
      <c r="B134" s="7">
        <v>1076.0</v>
      </c>
      <c r="C134" s="8" t="s">
        <v>74</v>
      </c>
      <c r="D134" s="7" t="s">
        <v>252</v>
      </c>
      <c r="E134" s="8" t="s">
        <v>79</v>
      </c>
      <c r="F134" s="7">
        <v>1.0</v>
      </c>
    </row>
    <row r="135" ht="22.5" customHeight="1">
      <c r="A135" s="6">
        <v>46219.0</v>
      </c>
      <c r="B135" s="7">
        <v>1076.0</v>
      </c>
      <c r="C135" s="8" t="s">
        <v>74</v>
      </c>
      <c r="D135" s="7" t="s">
        <v>252</v>
      </c>
      <c r="E135" s="8" t="s">
        <v>89</v>
      </c>
      <c r="F135" s="7">
        <v>1.0</v>
      </c>
    </row>
    <row r="136" ht="22.5" customHeight="1">
      <c r="A136" s="6">
        <v>46219.0</v>
      </c>
      <c r="B136" s="7">
        <v>1077.0</v>
      </c>
      <c r="C136" s="8" t="s">
        <v>38</v>
      </c>
      <c r="D136" s="7" t="s">
        <v>38</v>
      </c>
      <c r="E136" s="8" t="s">
        <v>68</v>
      </c>
      <c r="F136" s="7">
        <v>1.0</v>
      </c>
    </row>
    <row r="137" ht="22.5" customHeight="1">
      <c r="A137" s="6">
        <v>46219.0</v>
      </c>
      <c r="B137" s="7">
        <v>1077.0</v>
      </c>
      <c r="C137" s="8" t="s">
        <v>38</v>
      </c>
      <c r="D137" s="7" t="s">
        <v>38</v>
      </c>
      <c r="E137" s="8" t="s">
        <v>36</v>
      </c>
      <c r="F137" s="7">
        <v>1.0</v>
      </c>
    </row>
    <row r="138" ht="22.5" customHeight="1">
      <c r="A138" s="6">
        <v>46219.0</v>
      </c>
      <c r="B138" s="7">
        <v>1078.0</v>
      </c>
      <c r="C138" s="8" t="s">
        <v>115</v>
      </c>
      <c r="D138" s="7" t="s">
        <v>248</v>
      </c>
      <c r="E138" s="8" t="s">
        <v>68</v>
      </c>
      <c r="F138" s="7">
        <v>2.0</v>
      </c>
    </row>
    <row r="139" ht="22.5" customHeight="1">
      <c r="A139" s="6">
        <v>46219.0</v>
      </c>
      <c r="B139" s="7">
        <v>1079.0</v>
      </c>
      <c r="C139" s="8" t="s">
        <v>5</v>
      </c>
      <c r="D139" s="7" t="s">
        <v>222</v>
      </c>
      <c r="E139" s="8" t="s">
        <v>68</v>
      </c>
      <c r="F139" s="7">
        <v>1.0</v>
      </c>
    </row>
    <row r="140" ht="22.5" customHeight="1">
      <c r="A140" s="6">
        <v>46219.0</v>
      </c>
      <c r="B140" s="7">
        <v>1078.0</v>
      </c>
      <c r="C140" s="8" t="s">
        <v>115</v>
      </c>
      <c r="D140" s="7" t="s">
        <v>248</v>
      </c>
      <c r="E140" s="8" t="s">
        <v>116</v>
      </c>
      <c r="F140" s="7">
        <v>2.0</v>
      </c>
    </row>
    <row r="141" ht="22.5" customHeight="1">
      <c r="A141" s="6">
        <v>46220.0</v>
      </c>
      <c r="B141" s="7">
        <v>1080.0</v>
      </c>
      <c r="C141" s="8" t="s">
        <v>58</v>
      </c>
      <c r="D141" s="7" t="s">
        <v>58</v>
      </c>
      <c r="E141" s="8" t="s">
        <v>227</v>
      </c>
      <c r="F141" s="7">
        <v>1.0</v>
      </c>
    </row>
    <row r="142" ht="22.5" customHeight="1">
      <c r="A142" s="6">
        <v>46220.0</v>
      </c>
      <c r="B142" s="7">
        <v>1080.0</v>
      </c>
      <c r="C142" s="8" t="s">
        <v>58</v>
      </c>
      <c r="D142" s="7" t="s">
        <v>58</v>
      </c>
      <c r="E142" s="7" t="s">
        <v>80</v>
      </c>
      <c r="F142" s="7">
        <v>1.0</v>
      </c>
    </row>
    <row r="143" ht="22.5" customHeight="1">
      <c r="A143" s="6">
        <v>46223.0</v>
      </c>
      <c r="B143" s="7">
        <v>1139.0</v>
      </c>
      <c r="C143" s="8"/>
      <c r="D143" s="7" t="s">
        <v>239</v>
      </c>
      <c r="E143" s="8" t="s">
        <v>79</v>
      </c>
      <c r="F143" s="7">
        <v>3.0</v>
      </c>
    </row>
    <row r="144" ht="22.5" customHeight="1">
      <c r="A144" s="6">
        <v>46224.0</v>
      </c>
      <c r="B144" s="7">
        <v>1081.0</v>
      </c>
      <c r="C144" s="8" t="s">
        <v>38</v>
      </c>
      <c r="D144" s="7" t="s">
        <v>38</v>
      </c>
      <c r="E144" s="8" t="s">
        <v>36</v>
      </c>
      <c r="F144" s="7">
        <v>1.0</v>
      </c>
    </row>
    <row r="145" ht="22.5" customHeight="1">
      <c r="A145" s="6">
        <v>46224.0</v>
      </c>
      <c r="B145" s="7">
        <v>1081.0</v>
      </c>
      <c r="C145" s="8" t="s">
        <v>38</v>
      </c>
      <c r="D145" s="7" t="s">
        <v>38</v>
      </c>
      <c r="E145" s="7" t="s">
        <v>215</v>
      </c>
      <c r="F145" s="7">
        <v>1.0</v>
      </c>
    </row>
    <row r="146" ht="22.5" customHeight="1">
      <c r="A146" s="6">
        <v>46224.0</v>
      </c>
      <c r="B146" s="7">
        <v>1081.0</v>
      </c>
      <c r="C146" s="8" t="s">
        <v>38</v>
      </c>
      <c r="D146" s="7" t="s">
        <v>38</v>
      </c>
      <c r="E146" s="8" t="s">
        <v>89</v>
      </c>
      <c r="F146" s="7">
        <v>1.0</v>
      </c>
    </row>
    <row r="147" ht="22.5" customHeight="1">
      <c r="A147" s="6">
        <v>46224.0</v>
      </c>
      <c r="B147" s="7">
        <v>1081.0</v>
      </c>
      <c r="C147" s="8" t="s">
        <v>38</v>
      </c>
      <c r="D147" s="7" t="s">
        <v>38</v>
      </c>
      <c r="E147" s="8" t="s">
        <v>227</v>
      </c>
      <c r="F147" s="7">
        <v>1.0</v>
      </c>
    </row>
    <row r="148" ht="22.5" customHeight="1">
      <c r="A148" s="6">
        <v>46224.0</v>
      </c>
      <c r="B148" s="7">
        <v>1082.0</v>
      </c>
      <c r="C148" s="8" t="s">
        <v>257</v>
      </c>
      <c r="D148" s="7" t="s">
        <v>59</v>
      </c>
      <c r="E148" s="7" t="s">
        <v>80</v>
      </c>
      <c r="F148" s="7">
        <v>1.0</v>
      </c>
    </row>
    <row r="149" ht="22.5" customHeight="1">
      <c r="A149" s="6">
        <v>46224.0</v>
      </c>
      <c r="B149" s="7">
        <v>1082.0</v>
      </c>
      <c r="C149" s="8" t="s">
        <v>59</v>
      </c>
      <c r="D149" s="7" t="s">
        <v>59</v>
      </c>
      <c r="E149" s="8" t="s">
        <v>227</v>
      </c>
      <c r="F149" s="7">
        <v>1.0</v>
      </c>
    </row>
    <row r="150" ht="22.5" customHeight="1">
      <c r="A150" s="6">
        <v>46224.0</v>
      </c>
      <c r="B150" s="7">
        <v>1082.0</v>
      </c>
      <c r="C150" s="8" t="s">
        <v>59</v>
      </c>
      <c r="D150" s="7" t="s">
        <v>59</v>
      </c>
      <c r="E150" s="8" t="s">
        <v>36</v>
      </c>
      <c r="F150" s="7">
        <v>1.0</v>
      </c>
    </row>
    <row r="151" ht="22.5" customHeight="1">
      <c r="A151" s="6">
        <v>46224.0</v>
      </c>
      <c r="B151" s="7">
        <v>1082.0</v>
      </c>
      <c r="C151" s="8" t="s">
        <v>59</v>
      </c>
      <c r="D151" s="7" t="s">
        <v>59</v>
      </c>
      <c r="E151" s="8" t="s">
        <v>98</v>
      </c>
      <c r="F151" s="7">
        <v>1.0</v>
      </c>
    </row>
    <row r="152" ht="22.5" customHeight="1">
      <c r="A152" s="6">
        <v>46224.0</v>
      </c>
      <c r="B152" s="7">
        <v>1082.0</v>
      </c>
      <c r="C152" s="8" t="s">
        <v>59</v>
      </c>
      <c r="D152" s="7" t="s">
        <v>59</v>
      </c>
      <c r="E152" s="8" t="s">
        <v>124</v>
      </c>
      <c r="F152" s="7">
        <v>1.0</v>
      </c>
    </row>
    <row r="153" ht="22.5" customHeight="1">
      <c r="A153" s="6">
        <v>46224.0</v>
      </c>
      <c r="B153" s="7">
        <v>1083.0</v>
      </c>
      <c r="C153" s="8" t="s">
        <v>258</v>
      </c>
      <c r="D153" s="7" t="s">
        <v>59</v>
      </c>
      <c r="E153" s="8" t="s">
        <v>227</v>
      </c>
      <c r="F153" s="7">
        <v>1.0</v>
      </c>
    </row>
    <row r="154" ht="22.5" customHeight="1">
      <c r="A154" s="6">
        <v>46226.0</v>
      </c>
      <c r="B154" s="7">
        <v>1084.0</v>
      </c>
      <c r="C154" s="8" t="s">
        <v>38</v>
      </c>
      <c r="D154" s="7" t="s">
        <v>38</v>
      </c>
      <c r="E154" s="7" t="s">
        <v>68</v>
      </c>
      <c r="F154" s="7">
        <v>1.0</v>
      </c>
    </row>
    <row r="155" ht="22.5" customHeight="1">
      <c r="A155" s="6">
        <v>46226.0</v>
      </c>
      <c r="B155" s="7">
        <v>1140.0</v>
      </c>
      <c r="C155" s="8" t="s">
        <v>77</v>
      </c>
      <c r="D155" s="7" t="s">
        <v>216</v>
      </c>
      <c r="E155" s="7" t="s">
        <v>98</v>
      </c>
      <c r="F155" s="7">
        <v>1.0</v>
      </c>
    </row>
    <row r="156" ht="22.5" customHeight="1">
      <c r="A156" s="6">
        <v>46226.0</v>
      </c>
      <c r="B156" s="7">
        <v>1140.0</v>
      </c>
      <c r="C156" s="8" t="s">
        <v>77</v>
      </c>
      <c r="D156" s="7" t="s">
        <v>216</v>
      </c>
      <c r="E156" s="8" t="s">
        <v>227</v>
      </c>
      <c r="F156" s="7">
        <v>1.0</v>
      </c>
    </row>
    <row r="157" ht="22.5" customHeight="1">
      <c r="A157" s="6">
        <v>46226.0</v>
      </c>
      <c r="B157" s="7">
        <v>1085.0</v>
      </c>
      <c r="C157" s="8" t="s">
        <v>203</v>
      </c>
      <c r="D157" s="7" t="s">
        <v>222</v>
      </c>
      <c r="E157" s="8" t="s">
        <v>98</v>
      </c>
      <c r="F157" s="7">
        <v>1.0</v>
      </c>
    </row>
    <row r="158" ht="22.5" customHeight="1">
      <c r="A158" s="6">
        <v>46226.0</v>
      </c>
      <c r="B158" s="7">
        <v>1141.0</v>
      </c>
      <c r="C158" s="8" t="s">
        <v>59</v>
      </c>
      <c r="D158" s="7" t="s">
        <v>59</v>
      </c>
      <c r="E158" s="8" t="s">
        <v>48</v>
      </c>
      <c r="F158" s="7">
        <v>1.0</v>
      </c>
    </row>
    <row r="159" ht="22.5" customHeight="1">
      <c r="A159" s="6">
        <v>46226.0</v>
      </c>
      <c r="B159" s="7">
        <v>1085.0</v>
      </c>
      <c r="C159" s="8" t="s">
        <v>203</v>
      </c>
      <c r="D159" s="7" t="s">
        <v>222</v>
      </c>
      <c r="E159" s="8" t="s">
        <v>227</v>
      </c>
      <c r="F159" s="7">
        <v>1.0</v>
      </c>
    </row>
    <row r="160" ht="22.5" customHeight="1">
      <c r="A160" s="6">
        <v>46228.0</v>
      </c>
      <c r="B160" s="7">
        <v>1086.0</v>
      </c>
      <c r="C160" s="8" t="s">
        <v>66</v>
      </c>
      <c r="D160" s="7" t="s">
        <v>222</v>
      </c>
      <c r="E160" s="8" t="s">
        <v>259</v>
      </c>
      <c r="F160" s="7">
        <v>1.0</v>
      </c>
    </row>
    <row r="161" ht="22.5" customHeight="1">
      <c r="A161" s="6">
        <v>46228.0</v>
      </c>
      <c r="B161" s="7">
        <v>1087.0</v>
      </c>
      <c r="C161" s="8" t="s">
        <v>228</v>
      </c>
      <c r="D161" s="7" t="s">
        <v>59</v>
      </c>
      <c r="E161" s="8" t="s">
        <v>89</v>
      </c>
      <c r="F161" s="7">
        <v>2.0</v>
      </c>
    </row>
    <row r="162" ht="22.5" customHeight="1">
      <c r="A162" s="6">
        <v>46228.0</v>
      </c>
      <c r="B162" s="7">
        <v>1087.0</v>
      </c>
      <c r="C162" s="8" t="s">
        <v>228</v>
      </c>
      <c r="D162" s="7" t="s">
        <v>59</v>
      </c>
      <c r="E162" s="8" t="s">
        <v>68</v>
      </c>
      <c r="F162" s="7">
        <v>2.0</v>
      </c>
    </row>
    <row r="163" ht="22.5" customHeight="1">
      <c r="A163" s="6">
        <v>46229.0</v>
      </c>
      <c r="B163" s="7">
        <v>1088.0</v>
      </c>
      <c r="C163" s="8" t="s">
        <v>74</v>
      </c>
      <c r="D163" s="7" t="s">
        <v>252</v>
      </c>
      <c r="E163" s="7" t="s">
        <v>260</v>
      </c>
      <c r="F163" s="7">
        <v>1.0</v>
      </c>
    </row>
    <row r="164" ht="22.5" customHeight="1">
      <c r="A164" s="6">
        <v>46229.0</v>
      </c>
      <c r="B164" s="7">
        <v>1088.0</v>
      </c>
      <c r="C164" s="8" t="s">
        <v>74</v>
      </c>
      <c r="D164" s="7" t="s">
        <v>252</v>
      </c>
      <c r="E164" s="8" t="s">
        <v>236</v>
      </c>
      <c r="F164" s="7">
        <v>1.0</v>
      </c>
    </row>
    <row r="165" ht="22.5" customHeight="1">
      <c r="A165" s="6">
        <v>46229.0</v>
      </c>
      <c r="B165" s="7">
        <v>1089.0</v>
      </c>
      <c r="C165" s="8" t="s">
        <v>66</v>
      </c>
      <c r="D165" s="7" t="s">
        <v>222</v>
      </c>
      <c r="E165" s="8" t="s">
        <v>261</v>
      </c>
      <c r="F165" s="7">
        <v>2.0</v>
      </c>
    </row>
    <row r="166" ht="22.5" customHeight="1">
      <c r="A166" s="6">
        <v>46229.0</v>
      </c>
      <c r="B166" s="7">
        <v>1090.0</v>
      </c>
      <c r="C166" s="8" t="s">
        <v>66</v>
      </c>
      <c r="D166" s="7" t="s">
        <v>222</v>
      </c>
      <c r="E166" s="7" t="s">
        <v>215</v>
      </c>
      <c r="F166" s="7">
        <v>2.0</v>
      </c>
    </row>
    <row r="167" ht="22.5" customHeight="1">
      <c r="A167" s="6">
        <v>46229.0</v>
      </c>
      <c r="B167" s="7">
        <v>1142.0</v>
      </c>
      <c r="C167" s="8" t="s">
        <v>52</v>
      </c>
      <c r="D167" s="7" t="s">
        <v>216</v>
      </c>
      <c r="E167" s="8" t="s">
        <v>78</v>
      </c>
      <c r="F167" s="7">
        <v>2.0</v>
      </c>
    </row>
    <row r="168" ht="22.5" customHeight="1">
      <c r="A168" s="6">
        <v>46229.0</v>
      </c>
      <c r="B168" s="7">
        <v>1091.0</v>
      </c>
      <c r="C168" s="8" t="s">
        <v>246</v>
      </c>
      <c r="D168" s="7" t="s">
        <v>246</v>
      </c>
      <c r="E168" s="8" t="s">
        <v>227</v>
      </c>
      <c r="F168" s="7">
        <v>2.0</v>
      </c>
    </row>
    <row r="169" ht="22.5" customHeight="1">
      <c r="A169" s="6">
        <v>46230.0</v>
      </c>
      <c r="B169" s="7">
        <v>1092.0</v>
      </c>
      <c r="C169" s="8" t="s">
        <v>262</v>
      </c>
      <c r="D169" s="7" t="s">
        <v>58</v>
      </c>
      <c r="E169" s="8" t="s">
        <v>68</v>
      </c>
      <c r="F169" s="7">
        <v>3.0</v>
      </c>
    </row>
    <row r="170" ht="22.5" customHeight="1">
      <c r="A170" s="6">
        <v>46230.0</v>
      </c>
      <c r="B170" s="7">
        <v>1093.0</v>
      </c>
      <c r="C170" s="8" t="s">
        <v>19</v>
      </c>
      <c r="D170" s="7" t="s">
        <v>19</v>
      </c>
      <c r="E170" s="8" t="s">
        <v>176</v>
      </c>
      <c r="F170" s="7">
        <v>2.0</v>
      </c>
    </row>
    <row r="171" ht="22.5" customHeight="1">
      <c r="A171" s="6">
        <v>46230.0</v>
      </c>
      <c r="B171" s="7">
        <v>1094.0</v>
      </c>
      <c r="C171" s="8" t="s">
        <v>5</v>
      </c>
      <c r="D171" s="7" t="s">
        <v>222</v>
      </c>
      <c r="E171" s="8" t="s">
        <v>68</v>
      </c>
      <c r="F171" s="7">
        <v>2.0</v>
      </c>
    </row>
    <row r="172" ht="22.5" customHeight="1">
      <c r="A172" s="6">
        <v>46231.0</v>
      </c>
      <c r="B172" s="7">
        <v>1092.0</v>
      </c>
      <c r="C172" s="8" t="s">
        <v>263</v>
      </c>
      <c r="D172" s="7" t="s">
        <v>58</v>
      </c>
      <c r="E172" s="7" t="s">
        <v>264</v>
      </c>
      <c r="F172" s="7">
        <v>1.0</v>
      </c>
    </row>
    <row r="173" ht="22.5" customHeight="1">
      <c r="A173" s="6">
        <v>46232.0</v>
      </c>
      <c r="B173" s="7">
        <v>1095.0</v>
      </c>
      <c r="C173" s="8" t="s">
        <v>265</v>
      </c>
      <c r="D173" s="7" t="s">
        <v>59</v>
      </c>
      <c r="E173" s="7" t="s">
        <v>215</v>
      </c>
      <c r="F173" s="7">
        <v>1.0</v>
      </c>
    </row>
    <row r="174" ht="22.5" customHeight="1">
      <c r="A174" s="6">
        <v>46235.0</v>
      </c>
      <c r="B174" s="7">
        <v>1096.0</v>
      </c>
      <c r="C174" s="8" t="s">
        <v>52</v>
      </c>
      <c r="D174" s="7" t="s">
        <v>216</v>
      </c>
      <c r="E174" s="8" t="s">
        <v>68</v>
      </c>
      <c r="F174" s="7">
        <v>2.0</v>
      </c>
    </row>
    <row r="175" ht="22.5" customHeight="1">
      <c r="A175" s="6">
        <v>46235.0</v>
      </c>
      <c r="B175" s="7">
        <v>1097.0</v>
      </c>
      <c r="C175" s="8" t="s">
        <v>52</v>
      </c>
      <c r="D175" s="7" t="s">
        <v>216</v>
      </c>
      <c r="E175" s="8" t="s">
        <v>68</v>
      </c>
      <c r="F175" s="7">
        <v>1.0</v>
      </c>
    </row>
    <row r="176" ht="22.5" customHeight="1">
      <c r="A176" s="6">
        <v>46236.0</v>
      </c>
      <c r="B176" s="7">
        <v>1098.0</v>
      </c>
      <c r="C176" s="8" t="s">
        <v>167</v>
      </c>
      <c r="D176" s="7" t="s">
        <v>239</v>
      </c>
      <c r="E176" s="8" t="s">
        <v>48</v>
      </c>
      <c r="F176" s="7">
        <v>1.0</v>
      </c>
    </row>
    <row r="177" ht="22.5" customHeight="1">
      <c r="A177" s="6">
        <v>46237.0</v>
      </c>
      <c r="B177" s="7">
        <v>1099.0</v>
      </c>
      <c r="C177" s="8" t="s">
        <v>266</v>
      </c>
      <c r="D177" s="7" t="s">
        <v>59</v>
      </c>
      <c r="E177" s="8" t="s">
        <v>267</v>
      </c>
      <c r="F177" s="7">
        <v>2.0</v>
      </c>
    </row>
    <row r="178" ht="22.5" customHeight="1">
      <c r="A178" s="6">
        <v>46237.0</v>
      </c>
      <c r="B178" s="7">
        <v>1100.0</v>
      </c>
      <c r="C178" s="8" t="s">
        <v>52</v>
      </c>
      <c r="D178" s="7" t="s">
        <v>216</v>
      </c>
      <c r="E178" s="8" t="s">
        <v>180</v>
      </c>
      <c r="F178" s="7">
        <v>1.0</v>
      </c>
    </row>
    <row r="179" ht="22.5" customHeight="1">
      <c r="A179" s="6">
        <v>46239.0</v>
      </c>
      <c r="B179" s="7">
        <v>1101.0</v>
      </c>
      <c r="C179" s="8" t="s">
        <v>59</v>
      </c>
      <c r="D179" s="7" t="s">
        <v>59</v>
      </c>
      <c r="E179" s="7" t="s">
        <v>175</v>
      </c>
      <c r="F179" s="7">
        <v>1.0</v>
      </c>
    </row>
    <row r="180" ht="22.5" customHeight="1">
      <c r="A180" s="6">
        <v>46239.0</v>
      </c>
      <c r="B180" s="7">
        <v>1101.0</v>
      </c>
      <c r="C180" s="8" t="s">
        <v>59</v>
      </c>
      <c r="D180" s="7" t="s">
        <v>59</v>
      </c>
      <c r="E180" s="8" t="s">
        <v>68</v>
      </c>
      <c r="F180" s="7">
        <v>1.0</v>
      </c>
    </row>
    <row r="181" ht="22.5" customHeight="1">
      <c r="A181" s="6">
        <v>46239.0</v>
      </c>
      <c r="B181" s="7">
        <v>1101.0</v>
      </c>
      <c r="C181" s="8" t="s">
        <v>59</v>
      </c>
      <c r="D181" s="7" t="s">
        <v>59</v>
      </c>
      <c r="E181" s="7" t="s">
        <v>268</v>
      </c>
      <c r="F181" s="7">
        <v>1.0</v>
      </c>
    </row>
    <row r="182" ht="22.5" customHeight="1">
      <c r="A182" s="6">
        <v>46239.0</v>
      </c>
      <c r="B182" s="7">
        <v>1102.0</v>
      </c>
      <c r="C182" s="8" t="s">
        <v>162</v>
      </c>
      <c r="D182" s="7" t="s">
        <v>252</v>
      </c>
      <c r="E182" s="8" t="s">
        <v>68</v>
      </c>
      <c r="F182" s="7">
        <v>1.0</v>
      </c>
    </row>
    <row r="183" ht="22.5" customHeight="1">
      <c r="A183" s="6">
        <v>46240.0</v>
      </c>
      <c r="B183" s="7">
        <v>1103.0</v>
      </c>
      <c r="C183" s="8" t="s">
        <v>77</v>
      </c>
      <c r="D183" s="7" t="s">
        <v>216</v>
      </c>
      <c r="E183" s="8" t="s">
        <v>36</v>
      </c>
      <c r="F183" s="7">
        <v>1.0</v>
      </c>
    </row>
    <row r="184" ht="22.5" customHeight="1">
      <c r="A184" s="6">
        <v>46240.0</v>
      </c>
      <c r="B184" s="7">
        <v>1104.0</v>
      </c>
      <c r="C184" s="8" t="s">
        <v>59</v>
      </c>
      <c r="D184" s="7" t="s">
        <v>59</v>
      </c>
      <c r="E184" s="7" t="s">
        <v>268</v>
      </c>
      <c r="F184" s="7">
        <v>1.0</v>
      </c>
    </row>
    <row r="185" ht="22.5" customHeight="1">
      <c r="A185" s="6">
        <v>46240.0</v>
      </c>
      <c r="B185" s="7">
        <v>1104.0</v>
      </c>
      <c r="C185" s="8" t="s">
        <v>59</v>
      </c>
      <c r="D185" s="7" t="s">
        <v>59</v>
      </c>
      <c r="E185" s="7" t="s">
        <v>215</v>
      </c>
      <c r="F185" s="7">
        <v>1.0</v>
      </c>
    </row>
    <row r="186" ht="22.5" customHeight="1">
      <c r="A186" s="6">
        <v>46240.0</v>
      </c>
      <c r="B186" s="7">
        <v>1104.0</v>
      </c>
      <c r="C186" s="8" t="s">
        <v>59</v>
      </c>
      <c r="D186" s="7" t="s">
        <v>59</v>
      </c>
      <c r="E186" s="8" t="s">
        <v>68</v>
      </c>
      <c r="F186" s="7">
        <v>1.0</v>
      </c>
    </row>
    <row r="187" ht="22.5" customHeight="1">
      <c r="A187" s="6">
        <v>46240.0</v>
      </c>
      <c r="B187" s="7">
        <v>1105.0</v>
      </c>
      <c r="C187" s="8" t="s">
        <v>52</v>
      </c>
      <c r="D187" s="7" t="s">
        <v>216</v>
      </c>
      <c r="E187" s="7" t="s">
        <v>80</v>
      </c>
      <c r="F187" s="7">
        <v>1.0</v>
      </c>
    </row>
    <row r="188" ht="22.5" customHeight="1">
      <c r="A188" s="6">
        <v>46241.0</v>
      </c>
      <c r="B188" s="7">
        <v>1103.0</v>
      </c>
      <c r="C188" s="8" t="s">
        <v>77</v>
      </c>
      <c r="D188" s="7" t="s">
        <v>216</v>
      </c>
      <c r="E188" s="7" t="s">
        <v>80</v>
      </c>
      <c r="F188" s="7">
        <v>1.0</v>
      </c>
    </row>
    <row r="189" ht="22.5" customHeight="1">
      <c r="A189" s="6">
        <v>46241.0</v>
      </c>
      <c r="B189" s="7">
        <v>1103.0</v>
      </c>
      <c r="C189" s="8" t="s">
        <v>77</v>
      </c>
      <c r="D189" s="7" t="s">
        <v>216</v>
      </c>
      <c r="E189" s="8" t="s">
        <v>79</v>
      </c>
      <c r="F189" s="7">
        <v>4.0</v>
      </c>
    </row>
    <row r="190" ht="22.5" customHeight="1">
      <c r="A190" s="6">
        <v>46241.0</v>
      </c>
      <c r="B190" s="7">
        <v>1103.0</v>
      </c>
      <c r="C190" s="8" t="s">
        <v>77</v>
      </c>
      <c r="D190" s="7" t="s">
        <v>216</v>
      </c>
      <c r="E190" s="8" t="s">
        <v>36</v>
      </c>
      <c r="F190" s="7">
        <v>4.0</v>
      </c>
    </row>
    <row r="191" ht="22.5" customHeight="1">
      <c r="A191" s="6">
        <v>46241.0</v>
      </c>
      <c r="B191" s="7">
        <v>1098.0</v>
      </c>
      <c r="C191" s="8" t="s">
        <v>77</v>
      </c>
      <c r="D191" s="7" t="s">
        <v>216</v>
      </c>
      <c r="E191" s="8" t="s">
        <v>227</v>
      </c>
      <c r="F191" s="7">
        <v>1.0</v>
      </c>
    </row>
    <row r="192" ht="22.5" customHeight="1">
      <c r="A192" s="6">
        <v>46244.0</v>
      </c>
      <c r="B192" s="7">
        <v>1106.0</v>
      </c>
      <c r="C192" s="8" t="s">
        <v>38</v>
      </c>
      <c r="D192" s="7" t="s">
        <v>38</v>
      </c>
      <c r="E192" s="7" t="s">
        <v>80</v>
      </c>
      <c r="F192" s="7">
        <v>1.0</v>
      </c>
    </row>
    <row r="193" ht="22.5" customHeight="1">
      <c r="A193" s="6">
        <v>46244.0</v>
      </c>
      <c r="B193" s="7">
        <v>1106.0</v>
      </c>
      <c r="C193" s="8" t="s">
        <v>38</v>
      </c>
      <c r="D193" s="7" t="s">
        <v>38</v>
      </c>
      <c r="E193" s="8" t="s">
        <v>36</v>
      </c>
      <c r="F193" s="7">
        <v>1.0</v>
      </c>
    </row>
    <row r="194" ht="22.5" customHeight="1">
      <c r="A194" s="6">
        <v>46244.0</v>
      </c>
      <c r="B194" s="7">
        <v>1107.0</v>
      </c>
      <c r="C194" s="8" t="s">
        <v>59</v>
      </c>
      <c r="D194" s="7" t="s">
        <v>59</v>
      </c>
      <c r="E194" s="8" t="s">
        <v>68</v>
      </c>
      <c r="F194" s="7">
        <v>1.0</v>
      </c>
    </row>
    <row r="195" ht="22.5" customHeight="1">
      <c r="A195" s="6">
        <v>46245.0</v>
      </c>
      <c r="B195" s="7">
        <v>1108.0</v>
      </c>
      <c r="C195" s="8" t="s">
        <v>77</v>
      </c>
      <c r="D195" s="7" t="s">
        <v>216</v>
      </c>
      <c r="E195" s="8" t="s">
        <v>98</v>
      </c>
      <c r="F195" s="7">
        <v>2.0</v>
      </c>
    </row>
    <row r="196" ht="22.5" customHeight="1">
      <c r="A196" s="6">
        <v>46245.0</v>
      </c>
      <c r="B196" s="7">
        <v>1143.0</v>
      </c>
      <c r="C196" s="8" t="s">
        <v>66</v>
      </c>
      <c r="D196" s="7" t="s">
        <v>222</v>
      </c>
      <c r="E196" s="8" t="s">
        <v>79</v>
      </c>
      <c r="F196" s="7">
        <v>1.0</v>
      </c>
    </row>
    <row r="197" ht="22.5" customHeight="1">
      <c r="A197" s="6">
        <v>46245.0</v>
      </c>
      <c r="B197" s="7">
        <v>1143.0</v>
      </c>
      <c r="C197" s="8" t="s">
        <v>66</v>
      </c>
      <c r="D197" s="7" t="s">
        <v>222</v>
      </c>
      <c r="E197" s="8" t="s">
        <v>98</v>
      </c>
      <c r="F197" s="7">
        <v>2.0</v>
      </c>
    </row>
    <row r="198" ht="22.5" customHeight="1">
      <c r="A198" s="6">
        <v>46245.0</v>
      </c>
      <c r="B198" s="7">
        <v>1109.0</v>
      </c>
      <c r="C198" s="8" t="s">
        <v>38</v>
      </c>
      <c r="D198" s="7" t="s">
        <v>38</v>
      </c>
      <c r="E198" s="8" t="s">
        <v>36</v>
      </c>
      <c r="F198" s="7">
        <v>2.0</v>
      </c>
    </row>
    <row r="199" ht="22.5" customHeight="1">
      <c r="A199" s="6">
        <v>46246.0</v>
      </c>
      <c r="B199" s="7">
        <v>1110.0</v>
      </c>
      <c r="C199" s="8" t="s">
        <v>74</v>
      </c>
      <c r="D199" s="7" t="s">
        <v>252</v>
      </c>
      <c r="E199" s="7" t="s">
        <v>215</v>
      </c>
      <c r="F199" s="7">
        <v>1.0</v>
      </c>
    </row>
    <row r="200" ht="22.5" customHeight="1">
      <c r="A200" s="6">
        <v>46246.0</v>
      </c>
      <c r="B200" s="7">
        <v>1111.0</v>
      </c>
      <c r="C200" s="8" t="s">
        <v>38</v>
      </c>
      <c r="D200" s="7" t="s">
        <v>38</v>
      </c>
      <c r="E200" s="8" t="s">
        <v>79</v>
      </c>
      <c r="F200" s="7">
        <v>1.0</v>
      </c>
    </row>
    <row r="201" ht="22.5" customHeight="1">
      <c r="A201" s="6">
        <v>46246.0</v>
      </c>
      <c r="B201" s="7">
        <v>1111.0</v>
      </c>
      <c r="C201" s="8" t="s">
        <v>38</v>
      </c>
      <c r="D201" s="7" t="s">
        <v>38</v>
      </c>
      <c r="E201" s="7" t="s">
        <v>80</v>
      </c>
      <c r="F201" s="7">
        <v>1.0</v>
      </c>
    </row>
    <row r="202" ht="22.5" customHeight="1">
      <c r="A202" s="6">
        <v>46246.0</v>
      </c>
      <c r="B202" s="7">
        <v>1112.0</v>
      </c>
      <c r="C202" s="8" t="s">
        <v>269</v>
      </c>
      <c r="D202" s="7" t="s">
        <v>59</v>
      </c>
      <c r="E202" s="8" t="s">
        <v>36</v>
      </c>
      <c r="F202" s="7">
        <v>1.0</v>
      </c>
    </row>
    <row r="203" ht="22.5" customHeight="1">
      <c r="A203" s="6">
        <v>46246.0</v>
      </c>
      <c r="B203" s="7">
        <v>1113.0</v>
      </c>
      <c r="C203" s="8" t="s">
        <v>59</v>
      </c>
      <c r="D203" s="7" t="s">
        <v>59</v>
      </c>
      <c r="E203" s="7" t="s">
        <v>268</v>
      </c>
      <c r="F203" s="7">
        <v>1.0</v>
      </c>
    </row>
    <row r="204" ht="22.5" customHeight="1">
      <c r="A204" s="6">
        <v>46246.0</v>
      </c>
      <c r="B204" s="7">
        <v>1105.0</v>
      </c>
      <c r="C204" s="8" t="s">
        <v>52</v>
      </c>
      <c r="D204" s="7" t="s">
        <v>216</v>
      </c>
      <c r="E204" s="8" t="s">
        <v>68</v>
      </c>
      <c r="F204" s="7">
        <v>1.0</v>
      </c>
    </row>
    <row r="205" ht="22.5" customHeight="1">
      <c r="A205" s="6">
        <v>46246.0</v>
      </c>
      <c r="B205" s="7">
        <v>1105.0</v>
      </c>
      <c r="C205" s="8" t="s">
        <v>52</v>
      </c>
      <c r="D205" s="7" t="s">
        <v>216</v>
      </c>
      <c r="E205" s="7" t="s">
        <v>80</v>
      </c>
      <c r="F205" s="7">
        <v>1.0</v>
      </c>
    </row>
    <row r="206" ht="22.5" customHeight="1">
      <c r="A206" s="6">
        <v>46246.0</v>
      </c>
      <c r="B206" s="7">
        <v>1105.0</v>
      </c>
      <c r="C206" s="8" t="s">
        <v>52</v>
      </c>
      <c r="D206" s="7" t="s">
        <v>216</v>
      </c>
      <c r="E206" s="8" t="s">
        <v>78</v>
      </c>
      <c r="F206" s="7">
        <v>1.0</v>
      </c>
    </row>
    <row r="207" ht="22.5" customHeight="1">
      <c r="A207" s="6">
        <v>46247.0</v>
      </c>
      <c r="B207" s="7">
        <v>1112.0</v>
      </c>
      <c r="C207" s="8" t="s">
        <v>59</v>
      </c>
      <c r="D207" s="7" t="s">
        <v>59</v>
      </c>
      <c r="E207" s="8" t="s">
        <v>79</v>
      </c>
      <c r="F207" s="7">
        <v>1.0</v>
      </c>
    </row>
    <row r="208" ht="22.5" customHeight="1">
      <c r="A208" s="6">
        <v>46247.0</v>
      </c>
      <c r="B208" s="7">
        <v>1112.0</v>
      </c>
      <c r="C208" s="8" t="s">
        <v>59</v>
      </c>
      <c r="D208" s="7" t="s">
        <v>59</v>
      </c>
      <c r="E208" s="8" t="s">
        <v>89</v>
      </c>
      <c r="F208" s="7">
        <v>1.0</v>
      </c>
    </row>
    <row r="209" ht="22.5" customHeight="1">
      <c r="A209" s="6">
        <v>46247.0</v>
      </c>
      <c r="B209" s="7">
        <v>1112.0</v>
      </c>
      <c r="C209" s="8" t="s">
        <v>59</v>
      </c>
      <c r="D209" s="7" t="s">
        <v>59</v>
      </c>
      <c r="E209" s="8" t="s">
        <v>48</v>
      </c>
      <c r="F209" s="7">
        <v>1.0</v>
      </c>
    </row>
    <row r="210" ht="22.5" customHeight="1">
      <c r="A210" s="6">
        <v>46251.0</v>
      </c>
      <c r="B210" s="7">
        <v>1114.0</v>
      </c>
      <c r="C210" s="8" t="s">
        <v>77</v>
      </c>
      <c r="D210" s="7" t="s">
        <v>216</v>
      </c>
      <c r="E210" s="7" t="s">
        <v>80</v>
      </c>
      <c r="F210" s="7">
        <v>2.0</v>
      </c>
    </row>
    <row r="211" ht="22.5" customHeight="1">
      <c r="A211" s="6">
        <v>46251.0</v>
      </c>
      <c r="B211" s="7">
        <v>1115.0</v>
      </c>
      <c r="C211" s="8" t="s">
        <v>270</v>
      </c>
      <c r="D211" s="7" t="s">
        <v>59</v>
      </c>
      <c r="E211" s="8" t="s">
        <v>89</v>
      </c>
      <c r="F211" s="7">
        <v>2.0</v>
      </c>
    </row>
    <row r="212" ht="22.5" customHeight="1">
      <c r="A212" s="6">
        <v>46251.0</v>
      </c>
      <c r="B212" s="7">
        <v>1116.0</v>
      </c>
      <c r="C212" s="8" t="s">
        <v>271</v>
      </c>
      <c r="D212" s="7" t="s">
        <v>59</v>
      </c>
      <c r="E212" s="8" t="s">
        <v>68</v>
      </c>
      <c r="F212" s="7">
        <v>1.0</v>
      </c>
    </row>
    <row r="213" ht="22.5" customHeight="1">
      <c r="A213" s="6">
        <v>46254.0</v>
      </c>
      <c r="B213" s="7">
        <v>1105.0</v>
      </c>
      <c r="C213" s="8" t="s">
        <v>52</v>
      </c>
      <c r="D213" s="7" t="s">
        <v>216</v>
      </c>
      <c r="E213" s="8" t="s">
        <v>227</v>
      </c>
      <c r="F213" s="7">
        <v>1.0</v>
      </c>
    </row>
    <row r="214" ht="22.5" customHeight="1">
      <c r="A214" s="6">
        <v>46254.0</v>
      </c>
      <c r="B214" s="7">
        <v>1117.0</v>
      </c>
      <c r="C214" s="8" t="s">
        <v>52</v>
      </c>
      <c r="D214" s="7" t="s">
        <v>216</v>
      </c>
      <c r="E214" s="8" t="s">
        <v>68</v>
      </c>
      <c r="F214" s="7">
        <v>1.0</v>
      </c>
    </row>
    <row r="215" ht="22.5" customHeight="1">
      <c r="A215" s="6">
        <v>46254.0</v>
      </c>
      <c r="B215" s="7">
        <v>1117.0</v>
      </c>
      <c r="C215" s="8" t="s">
        <v>52</v>
      </c>
      <c r="D215" s="7" t="s">
        <v>216</v>
      </c>
      <c r="E215" s="7" t="s">
        <v>215</v>
      </c>
      <c r="F215" s="7">
        <v>1.0</v>
      </c>
    </row>
    <row r="216" ht="22.5" customHeight="1">
      <c r="A216" s="6">
        <v>46258.0</v>
      </c>
      <c r="B216" s="7">
        <v>1118.0</v>
      </c>
      <c r="C216" s="8" t="s">
        <v>77</v>
      </c>
      <c r="D216" s="7" t="s">
        <v>216</v>
      </c>
      <c r="E216" s="7" t="s">
        <v>80</v>
      </c>
      <c r="F216" s="7">
        <v>1.0</v>
      </c>
    </row>
    <row r="217" ht="22.5" customHeight="1">
      <c r="A217" s="6">
        <v>46258.0</v>
      </c>
      <c r="B217" s="7">
        <v>1119.0</v>
      </c>
      <c r="C217" s="8" t="s">
        <v>272</v>
      </c>
      <c r="D217" s="7" t="s">
        <v>59</v>
      </c>
      <c r="E217" s="8" t="s">
        <v>78</v>
      </c>
      <c r="F217" s="7">
        <v>1.0</v>
      </c>
    </row>
    <row r="218" ht="22.5" customHeight="1">
      <c r="A218" s="6">
        <v>46258.0</v>
      </c>
      <c r="B218" s="7">
        <v>1112.0</v>
      </c>
      <c r="C218" s="8" t="s">
        <v>59</v>
      </c>
      <c r="D218" s="7" t="s">
        <v>59</v>
      </c>
      <c r="E218" s="8" t="s">
        <v>98</v>
      </c>
      <c r="F218" s="7">
        <v>1.0</v>
      </c>
    </row>
    <row r="219" ht="22.5" customHeight="1">
      <c r="A219" s="6">
        <v>46258.0</v>
      </c>
      <c r="B219" s="7">
        <v>1120.0</v>
      </c>
      <c r="C219" s="8" t="s">
        <v>59</v>
      </c>
      <c r="D219" s="7" t="s">
        <v>59</v>
      </c>
      <c r="E219" s="8" t="s">
        <v>176</v>
      </c>
      <c r="F219" s="7">
        <v>1.0</v>
      </c>
    </row>
    <row r="220" ht="22.5" customHeight="1">
      <c r="A220" s="6">
        <v>46258.0</v>
      </c>
      <c r="B220" s="7">
        <v>1118.0</v>
      </c>
      <c r="C220" s="8" t="s">
        <v>77</v>
      </c>
      <c r="D220" s="7" t="s">
        <v>216</v>
      </c>
      <c r="E220" s="8" t="s">
        <v>48</v>
      </c>
      <c r="F220" s="7">
        <v>1.0</v>
      </c>
    </row>
    <row r="221" ht="22.5" customHeight="1">
      <c r="A221" s="6">
        <v>46258.0</v>
      </c>
      <c r="B221" s="7">
        <v>1118.0</v>
      </c>
      <c r="C221" s="8" t="s">
        <v>77</v>
      </c>
      <c r="D221" s="7" t="s">
        <v>216</v>
      </c>
      <c r="E221" s="8" t="s">
        <v>227</v>
      </c>
      <c r="F221" s="7">
        <v>1.0</v>
      </c>
    </row>
    <row r="222" ht="22.5" customHeight="1">
      <c r="A222" s="6">
        <v>46258.0</v>
      </c>
      <c r="B222" s="7">
        <v>1112.0</v>
      </c>
      <c r="C222" s="8" t="s">
        <v>59</v>
      </c>
      <c r="D222" s="7" t="s">
        <v>59</v>
      </c>
      <c r="E222" s="8" t="s">
        <v>89</v>
      </c>
      <c r="F222" s="7">
        <v>1.0</v>
      </c>
    </row>
    <row r="223" ht="22.5" customHeight="1">
      <c r="A223" s="6">
        <v>46258.0</v>
      </c>
      <c r="B223" s="7">
        <v>1112.0</v>
      </c>
      <c r="C223" s="8" t="s">
        <v>59</v>
      </c>
      <c r="D223" s="7" t="s">
        <v>59</v>
      </c>
      <c r="E223" s="8" t="s">
        <v>68</v>
      </c>
      <c r="F223" s="7">
        <v>1.0</v>
      </c>
    </row>
    <row r="224" ht="15.75" customHeight="1">
      <c r="A224" s="6">
        <v>46259.0</v>
      </c>
      <c r="B224" s="7">
        <v>1121.0</v>
      </c>
      <c r="C224" s="8" t="s">
        <v>58</v>
      </c>
      <c r="D224" s="7" t="s">
        <v>59</v>
      </c>
      <c r="E224" s="8" t="s">
        <v>273</v>
      </c>
      <c r="F224" s="7">
        <v>1.0</v>
      </c>
    </row>
    <row r="225" ht="15.75" customHeight="1">
      <c r="A225" s="6">
        <v>46260.0</v>
      </c>
      <c r="B225" s="7">
        <v>1122.0</v>
      </c>
      <c r="C225" s="8" t="s">
        <v>52</v>
      </c>
      <c r="D225" s="7" t="s">
        <v>216</v>
      </c>
      <c r="E225" s="8" t="s">
        <v>68</v>
      </c>
      <c r="F225" s="7">
        <v>2.0</v>
      </c>
    </row>
    <row r="226" ht="15.75" customHeight="1">
      <c r="A226" s="6">
        <v>46260.0</v>
      </c>
      <c r="B226" s="7">
        <v>1123.0</v>
      </c>
      <c r="C226" s="8" t="s">
        <v>38</v>
      </c>
      <c r="D226" s="7" t="s">
        <v>38</v>
      </c>
      <c r="E226" s="8" t="s">
        <v>36</v>
      </c>
      <c r="F226" s="7">
        <v>1.0</v>
      </c>
    </row>
    <row r="227" ht="15.75" customHeight="1">
      <c r="A227" s="6">
        <v>46260.0</v>
      </c>
      <c r="B227" s="7">
        <v>1123.0</v>
      </c>
      <c r="C227" s="8" t="s">
        <v>38</v>
      </c>
      <c r="D227" s="7" t="s">
        <v>38</v>
      </c>
      <c r="E227" s="8" t="s">
        <v>94</v>
      </c>
      <c r="F227" s="7">
        <v>1.0</v>
      </c>
    </row>
    <row r="228" ht="15.75" customHeight="1">
      <c r="A228" s="6">
        <v>46260.0</v>
      </c>
      <c r="B228" s="7">
        <v>1124.0</v>
      </c>
      <c r="C228" s="8" t="s">
        <v>58</v>
      </c>
      <c r="D228" s="7" t="s">
        <v>58</v>
      </c>
      <c r="E228" s="8" t="s">
        <v>274</v>
      </c>
      <c r="F228" s="7">
        <v>1.0</v>
      </c>
    </row>
    <row r="229" ht="15.75" customHeight="1">
      <c r="A229" s="6">
        <v>46261.0</v>
      </c>
      <c r="B229" s="7">
        <v>1125.0</v>
      </c>
      <c r="C229" s="8" t="s">
        <v>77</v>
      </c>
      <c r="D229" s="7" t="s">
        <v>216</v>
      </c>
      <c r="E229" s="8" t="s">
        <v>275</v>
      </c>
      <c r="F229" s="7">
        <v>1.0</v>
      </c>
    </row>
    <row r="230" ht="15.75" customHeight="1">
      <c r="A230" s="6">
        <v>46261.0</v>
      </c>
      <c r="B230" s="7">
        <v>1125.0</v>
      </c>
      <c r="C230" s="8" t="s">
        <v>77</v>
      </c>
      <c r="D230" s="7" t="s">
        <v>216</v>
      </c>
      <c r="E230" s="8" t="s">
        <v>276</v>
      </c>
      <c r="F230" s="7">
        <v>1.0</v>
      </c>
    </row>
    <row r="231" ht="15.75" customHeight="1">
      <c r="A231" s="6">
        <v>46261.0</v>
      </c>
      <c r="B231" s="7">
        <v>1126.0</v>
      </c>
      <c r="C231" s="8" t="s">
        <v>77</v>
      </c>
      <c r="D231" s="7" t="s">
        <v>216</v>
      </c>
      <c r="E231" s="8" t="s">
        <v>277</v>
      </c>
      <c r="F231" s="7">
        <v>1.0</v>
      </c>
    </row>
    <row r="232" ht="15.75" customHeight="1">
      <c r="A232" s="6">
        <v>46262.0</v>
      </c>
      <c r="B232" s="7">
        <v>1126.0</v>
      </c>
      <c r="C232" s="8" t="s">
        <v>77</v>
      </c>
      <c r="D232" s="7" t="s">
        <v>216</v>
      </c>
      <c r="E232" s="8" t="s">
        <v>277</v>
      </c>
      <c r="F232" s="7">
        <v>1.0</v>
      </c>
    </row>
    <row r="233" ht="15.75" customHeight="1">
      <c r="A233" s="6">
        <v>46265.0</v>
      </c>
      <c r="B233" s="7">
        <v>1127.0</v>
      </c>
      <c r="C233" s="8" t="s">
        <v>225</v>
      </c>
      <c r="D233" s="7" t="s">
        <v>59</v>
      </c>
      <c r="E233" s="8" t="s">
        <v>80</v>
      </c>
      <c r="F233" s="7">
        <v>1.0</v>
      </c>
    </row>
    <row r="234" ht="15.75" customHeight="1">
      <c r="A234" s="6">
        <v>46265.0</v>
      </c>
      <c r="B234" s="7">
        <v>1127.0</v>
      </c>
      <c r="C234" s="8" t="s">
        <v>225</v>
      </c>
      <c r="D234" s="7" t="s">
        <v>59</v>
      </c>
      <c r="E234" s="8" t="s">
        <v>278</v>
      </c>
      <c r="F234" s="7">
        <v>1.0</v>
      </c>
    </row>
    <row r="235" ht="15.75" customHeight="1">
      <c r="A235" s="6">
        <v>46265.0</v>
      </c>
      <c r="B235" s="7">
        <v>1128.0</v>
      </c>
      <c r="C235" s="8" t="s">
        <v>225</v>
      </c>
      <c r="D235" s="7" t="s">
        <v>59</v>
      </c>
      <c r="E235" s="8" t="s">
        <v>279</v>
      </c>
      <c r="F235" s="7">
        <v>2.0</v>
      </c>
    </row>
    <row r="236" ht="15.75" customHeight="1">
      <c r="A236" s="6">
        <v>46265.0</v>
      </c>
      <c r="B236" s="7">
        <v>1128.0</v>
      </c>
      <c r="C236" s="8" t="s">
        <v>225</v>
      </c>
      <c r="D236" s="7" t="s">
        <v>59</v>
      </c>
      <c r="E236" s="8" t="s">
        <v>94</v>
      </c>
      <c r="F236" s="7">
        <v>2.0</v>
      </c>
    </row>
    <row r="237" ht="15.75" customHeight="1">
      <c r="A237" s="6">
        <v>46265.0</v>
      </c>
      <c r="B237" s="7">
        <v>1128.0</v>
      </c>
      <c r="C237" s="8" t="s">
        <v>225</v>
      </c>
      <c r="D237" s="7" t="s">
        <v>59</v>
      </c>
      <c r="E237" s="8" t="s">
        <v>68</v>
      </c>
      <c r="F237" s="7">
        <v>1.0</v>
      </c>
    </row>
    <row r="238" ht="15.75" customHeight="1">
      <c r="A238" s="6">
        <v>46265.0</v>
      </c>
      <c r="B238" s="7">
        <v>1128.0</v>
      </c>
      <c r="C238" s="8" t="s">
        <v>225</v>
      </c>
      <c r="D238" s="7" t="s">
        <v>59</v>
      </c>
      <c r="E238" s="8" t="s">
        <v>175</v>
      </c>
      <c r="F238" s="7">
        <v>2.0</v>
      </c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0FA29CB-57D5-42BD-B2AA-000689D3F56C}" filter="1" showAutoFilter="1">
      <autoFilter ref="$A$1:$F$238"/>
    </customSheetView>
    <customSheetView guid="{B0FA29CB-57D5-42BD-B2AA-000689D3F56C}" filter="1" showAutoFilter="1">
      <autoFilter ref="$A$1:$F$438"/>
    </customSheetView>
  </customSheetViews>
  <conditionalFormatting sqref="A1:C223 D1:D238 E1:F223">
    <cfRule type="containsBlanks" dxfId="5" priority="1">
      <formula>LEN(TRIM(A1))=0</formula>
    </cfRule>
  </conditionalFormatting>
  <conditionalFormatting sqref="A1:C223 D1:D238 E1:F223">
    <cfRule type="containsBlanks" dxfId="5" priority="2">
      <formula>LEN(TRIM(A1))=0</formula>
    </cfRule>
  </conditionalFormatting>
  <dataValidations>
    <dataValidation type="custom" allowBlank="1" showDropDown="1" sqref="A2:A238">
      <formula1>OR(NOT(ISERROR(DATEVALUE(A2))), AND(ISNUMBER(A2), LEFT(CELL("format", A2))="D"))</formula1>
    </dataValidation>
    <dataValidation type="custom" allowBlank="1" showDropDown="1" sqref="B2:B238">
      <formula1/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69</v>
      </c>
      <c r="D1" s="1" t="s">
        <v>3</v>
      </c>
      <c r="E1" s="1" t="s">
        <v>4</v>
      </c>
    </row>
    <row r="2" ht="15.75" customHeight="1">
      <c r="A2" s="1">
        <v>8.034621041E9</v>
      </c>
      <c r="B2" s="1" t="s">
        <v>280</v>
      </c>
      <c r="C2" s="1" t="s">
        <v>46</v>
      </c>
      <c r="D2" s="1">
        <v>2.0</v>
      </c>
      <c r="E2" s="1" t="s">
        <v>139</v>
      </c>
    </row>
    <row r="3" ht="15.75" customHeight="1">
      <c r="A3" s="1">
        <v>8.034621041E9</v>
      </c>
      <c r="B3" s="1" t="s">
        <v>280</v>
      </c>
      <c r="C3" s="1" t="s">
        <v>6</v>
      </c>
      <c r="D3" s="1">
        <v>2.0</v>
      </c>
      <c r="E3" s="1" t="s">
        <v>139</v>
      </c>
    </row>
    <row r="4" ht="15.75" customHeight="1">
      <c r="A4" s="1">
        <v>8.032584227E9</v>
      </c>
      <c r="B4" s="1" t="s">
        <v>74</v>
      </c>
      <c r="C4" s="1" t="s">
        <v>281</v>
      </c>
      <c r="D4" s="1">
        <v>1.0</v>
      </c>
      <c r="E4" s="1" t="s">
        <v>139</v>
      </c>
    </row>
    <row r="5" ht="15.75" customHeight="1">
      <c r="A5" s="1" t="s">
        <v>282</v>
      </c>
      <c r="B5" s="1" t="s">
        <v>143</v>
      </c>
      <c r="C5" s="1" t="s">
        <v>9</v>
      </c>
      <c r="D5" s="1">
        <v>2.0</v>
      </c>
      <c r="E5" s="1" t="s">
        <v>144</v>
      </c>
    </row>
    <row r="6" ht="15.75" customHeight="1">
      <c r="A6" s="1">
        <v>8.035846113E9</v>
      </c>
      <c r="B6" s="1" t="s">
        <v>66</v>
      </c>
      <c r="C6" s="1" t="s">
        <v>145</v>
      </c>
      <c r="D6" s="1">
        <v>2.0</v>
      </c>
      <c r="E6" s="1" t="s">
        <v>144</v>
      </c>
    </row>
    <row r="7" ht="15.75" customHeight="1">
      <c r="A7" s="1">
        <v>7.046822541E9</v>
      </c>
      <c r="B7" s="1" t="s">
        <v>74</v>
      </c>
      <c r="C7" s="1" t="s">
        <v>283</v>
      </c>
      <c r="D7" s="1">
        <v>1.0</v>
      </c>
      <c r="E7" s="1" t="s">
        <v>144</v>
      </c>
    </row>
    <row r="8" ht="15.75" customHeight="1">
      <c r="A8" s="1">
        <v>7.046822541E9</v>
      </c>
      <c r="B8" s="1" t="s">
        <v>74</v>
      </c>
      <c r="C8" s="1" t="s">
        <v>147</v>
      </c>
      <c r="D8" s="1">
        <v>1.0</v>
      </c>
      <c r="E8" s="1" t="s">
        <v>144</v>
      </c>
    </row>
    <row r="9" ht="15.75" customHeight="1">
      <c r="A9" s="1">
        <v>8.035846113E9</v>
      </c>
      <c r="B9" s="1" t="s">
        <v>66</v>
      </c>
      <c r="C9" s="1" t="s">
        <v>94</v>
      </c>
      <c r="D9" s="1">
        <v>2.0</v>
      </c>
      <c r="E9" s="1" t="s">
        <v>144</v>
      </c>
    </row>
    <row r="10" ht="15.75" customHeight="1">
      <c r="A10" s="1">
        <v>8.037349461E9</v>
      </c>
      <c r="B10" s="1" t="s">
        <v>52</v>
      </c>
      <c r="C10" s="1" t="s">
        <v>78</v>
      </c>
      <c r="D10" s="1">
        <v>1.0</v>
      </c>
      <c r="E10" s="1" t="s">
        <v>144</v>
      </c>
    </row>
    <row r="11" ht="15.75" customHeight="1">
      <c r="A11" s="1">
        <v>8.035655076E9</v>
      </c>
      <c r="B11" s="1" t="s">
        <v>19</v>
      </c>
      <c r="C11" s="1" t="s">
        <v>148</v>
      </c>
      <c r="D11" s="1">
        <v>2.0</v>
      </c>
      <c r="E11" s="1" t="s">
        <v>149</v>
      </c>
    </row>
    <row r="12" ht="15.75" customHeight="1">
      <c r="A12" s="1">
        <v>8.035655076E9</v>
      </c>
      <c r="B12" s="1" t="s">
        <v>284</v>
      </c>
      <c r="C12" s="1" t="s">
        <v>68</v>
      </c>
      <c r="D12" s="1">
        <v>3.0</v>
      </c>
      <c r="E12" s="1" t="s">
        <v>149</v>
      </c>
    </row>
    <row r="13" ht="15.75" customHeight="1">
      <c r="A13" s="1">
        <v>8.034240881E9</v>
      </c>
      <c r="B13" s="1" t="s">
        <v>151</v>
      </c>
      <c r="C13" s="1" t="s">
        <v>152</v>
      </c>
      <c r="D13" s="1">
        <v>1.0</v>
      </c>
      <c r="E13" s="1" t="s">
        <v>153</v>
      </c>
    </row>
    <row r="14" ht="15.75" customHeight="1">
      <c r="A14" s="1">
        <v>8.034363923E9</v>
      </c>
      <c r="B14" s="1" t="s">
        <v>285</v>
      </c>
      <c r="C14" s="1" t="s">
        <v>67</v>
      </c>
      <c r="D14" s="1">
        <v>1.0</v>
      </c>
      <c r="E14" s="1" t="s">
        <v>155</v>
      </c>
    </row>
    <row r="15" ht="15.75" customHeight="1">
      <c r="A15" s="1">
        <v>7.071257348E9</v>
      </c>
      <c r="B15" s="1" t="s">
        <v>5</v>
      </c>
      <c r="C15" s="1" t="s">
        <v>68</v>
      </c>
      <c r="D15" s="1">
        <v>2.0</v>
      </c>
      <c r="E15" s="1" t="s">
        <v>155</v>
      </c>
    </row>
    <row r="16" ht="15.75" customHeight="1">
      <c r="A16" s="1">
        <v>8.163852785E9</v>
      </c>
      <c r="B16" s="1" t="s">
        <v>52</v>
      </c>
      <c r="C16" s="1" t="s">
        <v>68</v>
      </c>
      <c r="D16" s="1">
        <v>2.0</v>
      </c>
      <c r="E16" s="2">
        <v>46030.0</v>
      </c>
    </row>
    <row r="17" ht="15.75" customHeight="1">
      <c r="A17" s="1">
        <v>9.036852785E9</v>
      </c>
      <c r="B17" s="1" t="s">
        <v>52</v>
      </c>
      <c r="C17" s="1" t="s">
        <v>68</v>
      </c>
      <c r="D17" s="1">
        <v>1.0</v>
      </c>
      <c r="E17" s="2">
        <v>46030.0</v>
      </c>
    </row>
    <row r="18" ht="15.75" customHeight="1">
      <c r="A18" s="1">
        <v>8.063088411E9</v>
      </c>
      <c r="B18" s="1" t="s">
        <v>52</v>
      </c>
      <c r="C18" s="1" t="s">
        <v>156</v>
      </c>
      <c r="D18" s="1">
        <v>1.0</v>
      </c>
      <c r="E18" s="2">
        <v>46089.0</v>
      </c>
    </row>
    <row r="19" ht="15.75" customHeight="1">
      <c r="A19" s="1">
        <v>7.024852188E9</v>
      </c>
      <c r="B19" s="1" t="s">
        <v>286</v>
      </c>
      <c r="C19" s="1" t="s">
        <v>158</v>
      </c>
      <c r="D19" s="1">
        <v>2.0</v>
      </c>
      <c r="E19" s="2">
        <v>46089.0</v>
      </c>
    </row>
    <row r="20" ht="15.75" customHeight="1">
      <c r="A20" s="1">
        <v>7.024852188E9</v>
      </c>
      <c r="B20" s="1" t="s">
        <v>59</v>
      </c>
      <c r="C20" s="1" t="s">
        <v>287</v>
      </c>
      <c r="D20" s="1">
        <v>1.0</v>
      </c>
      <c r="E20" s="2">
        <v>46150.0</v>
      </c>
    </row>
    <row r="21" ht="15.75" customHeight="1">
      <c r="A21" s="1">
        <v>7.024852188E9</v>
      </c>
      <c r="B21" s="1" t="s">
        <v>59</v>
      </c>
      <c r="C21" s="1" t="s">
        <v>6</v>
      </c>
      <c r="D21" s="1">
        <v>1.0</v>
      </c>
      <c r="E21" s="2">
        <v>46150.0</v>
      </c>
    </row>
    <row r="22" ht="15.75" customHeight="1">
      <c r="A22" s="1">
        <v>9.161382849E9</v>
      </c>
      <c r="B22" s="1" t="s">
        <v>59</v>
      </c>
      <c r="C22" s="1" t="s">
        <v>288</v>
      </c>
      <c r="D22" s="1">
        <v>1.0</v>
      </c>
      <c r="E22" s="2">
        <v>46150.0</v>
      </c>
    </row>
    <row r="23" ht="15.75" customHeight="1">
      <c r="A23" s="1">
        <v>8.163854753E9</v>
      </c>
      <c r="B23" s="1" t="s">
        <v>162</v>
      </c>
      <c r="C23" s="1" t="s">
        <v>68</v>
      </c>
      <c r="D23" s="1">
        <v>1.0</v>
      </c>
      <c r="E23" s="2">
        <v>46181.0</v>
      </c>
    </row>
    <row r="24" ht="15.75" customHeight="1">
      <c r="A24" s="1">
        <v>7.039718944E9</v>
      </c>
      <c r="B24" s="1" t="s">
        <v>52</v>
      </c>
      <c r="C24" s="1" t="s">
        <v>80</v>
      </c>
      <c r="D24" s="1">
        <v>1.0</v>
      </c>
      <c r="E24" s="2">
        <v>46181.0</v>
      </c>
    </row>
    <row r="25" ht="15.75" customHeight="1">
      <c r="A25" s="1">
        <v>7.039718944E9</v>
      </c>
      <c r="B25" s="1" t="s">
        <v>289</v>
      </c>
      <c r="C25" s="1" t="s">
        <v>290</v>
      </c>
      <c r="D25" s="1">
        <v>1.0</v>
      </c>
      <c r="E25" s="2">
        <v>46181.0</v>
      </c>
    </row>
    <row r="26" ht="15.75" customHeight="1">
      <c r="A26" s="1">
        <v>7.039718944E9</v>
      </c>
      <c r="B26" s="1" t="s">
        <v>291</v>
      </c>
      <c r="C26" s="1" t="s">
        <v>166</v>
      </c>
      <c r="D26" s="1">
        <v>1.0</v>
      </c>
      <c r="E26" s="2">
        <v>46181.0</v>
      </c>
    </row>
    <row r="27" ht="15.75" customHeight="1">
      <c r="A27" s="1">
        <v>8.034863417E9</v>
      </c>
      <c r="B27" s="1" t="s">
        <v>292</v>
      </c>
      <c r="C27" s="1" t="s">
        <v>112</v>
      </c>
      <c r="D27" s="1">
        <v>1.0</v>
      </c>
      <c r="E27" s="2">
        <v>46181.0</v>
      </c>
    </row>
    <row r="28" ht="15.75" customHeight="1">
      <c r="B28" s="1" t="s">
        <v>77</v>
      </c>
      <c r="C28" s="1" t="s">
        <v>43</v>
      </c>
      <c r="D28" s="1">
        <v>1.0</v>
      </c>
      <c r="E28" s="2">
        <v>46273.0</v>
      </c>
    </row>
    <row r="29" ht="15.75" customHeight="1">
      <c r="C29" s="1" t="s">
        <v>75</v>
      </c>
      <c r="D29" s="1">
        <v>4.0</v>
      </c>
      <c r="E29" s="2">
        <v>46334.0</v>
      </c>
    </row>
    <row r="30" ht="15.75" customHeight="1">
      <c r="A30" s="1">
        <v>8.036512868E9</v>
      </c>
      <c r="C30" s="1" t="s">
        <v>43</v>
      </c>
      <c r="D30" s="1">
        <v>4.0</v>
      </c>
      <c r="E30" s="2">
        <v>46334.0</v>
      </c>
    </row>
    <row r="31" ht="15.75" customHeight="1">
      <c r="A31" s="1">
        <v>8.036512868E9</v>
      </c>
      <c r="B31" s="1" t="s">
        <v>77</v>
      </c>
      <c r="C31" s="1" t="s">
        <v>72</v>
      </c>
    </row>
    <row r="32" ht="15.75" customHeight="1">
      <c r="A32" s="1">
        <v>8.036512868E9</v>
      </c>
      <c r="B32" s="1" t="s">
        <v>77</v>
      </c>
      <c r="C32" s="1" t="s">
        <v>293</v>
      </c>
    </row>
    <row r="33" ht="15.75" customHeight="1">
      <c r="B33" s="1" t="s">
        <v>77</v>
      </c>
      <c r="C33" s="1" t="s">
        <v>9</v>
      </c>
      <c r="D33" s="1">
        <v>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8.25"/>
  </cols>
  <sheetData>
    <row r="1">
      <c r="A1" s="1" t="s">
        <v>0</v>
      </c>
      <c r="B1" s="1" t="s">
        <v>294</v>
      </c>
      <c r="C1" s="1" t="s">
        <v>69</v>
      </c>
      <c r="D1" s="1" t="s">
        <v>295</v>
      </c>
      <c r="E1" s="1" t="s">
        <v>71</v>
      </c>
    </row>
    <row r="2">
      <c r="A2" s="1">
        <v>7.030910093E9</v>
      </c>
      <c r="B2" s="1" t="s">
        <v>38</v>
      </c>
      <c r="C2" s="1" t="s">
        <v>72</v>
      </c>
      <c r="D2" s="1">
        <v>1.0</v>
      </c>
      <c r="E2" s="2">
        <v>46303.0</v>
      </c>
    </row>
    <row r="3">
      <c r="A3" s="1">
        <v>8.030910093E9</v>
      </c>
      <c r="B3" s="1" t="s">
        <v>38</v>
      </c>
      <c r="C3" s="1" t="s">
        <v>68</v>
      </c>
      <c r="D3" s="1">
        <v>1.0</v>
      </c>
      <c r="E3" s="2">
        <v>46303.0</v>
      </c>
    </row>
    <row r="4">
      <c r="A4" s="1">
        <v>7.029852101E9</v>
      </c>
      <c r="B4" s="1" t="s">
        <v>59</v>
      </c>
      <c r="C4" s="1" t="s">
        <v>296</v>
      </c>
      <c r="D4" s="1">
        <v>1.0</v>
      </c>
      <c r="E4" s="2">
        <v>46303.0</v>
      </c>
    </row>
    <row r="5">
      <c r="A5" s="1">
        <v>7.029852101E9</v>
      </c>
      <c r="B5" s="1" t="s">
        <v>58</v>
      </c>
      <c r="C5" s="1" t="s">
        <v>43</v>
      </c>
      <c r="D5" s="1">
        <v>2.0</v>
      </c>
      <c r="E5" s="2">
        <v>46334.0</v>
      </c>
    </row>
    <row r="6">
      <c r="A6" s="1">
        <v>7.034450433E9</v>
      </c>
      <c r="B6" s="1" t="s">
        <v>38</v>
      </c>
      <c r="C6" s="1" t="s">
        <v>75</v>
      </c>
      <c r="D6" s="1">
        <v>1.0</v>
      </c>
      <c r="E6" s="2">
        <v>46334.0</v>
      </c>
    </row>
    <row r="7">
      <c r="A7" s="1" t="s">
        <v>297</v>
      </c>
      <c r="B7" s="1" t="s">
        <v>298</v>
      </c>
      <c r="C7" s="1" t="s">
        <v>299</v>
      </c>
      <c r="D7" s="1">
        <v>2.0</v>
      </c>
      <c r="E7" s="2">
        <v>46334.0</v>
      </c>
    </row>
    <row r="8">
      <c r="A8" s="1" t="s">
        <v>297</v>
      </c>
      <c r="B8" s="1" t="s">
        <v>298</v>
      </c>
      <c r="C8" s="1" t="s">
        <v>299</v>
      </c>
      <c r="D8" s="1">
        <v>2.0</v>
      </c>
      <c r="E8" s="2">
        <v>46334.0</v>
      </c>
    </row>
    <row r="9">
      <c r="A9" s="1">
        <v>8.034213214E9</v>
      </c>
      <c r="B9" s="1" t="s">
        <v>77</v>
      </c>
      <c r="C9" s="1" t="s">
        <v>37</v>
      </c>
      <c r="D9" s="1">
        <v>1.0</v>
      </c>
      <c r="E9" s="2">
        <v>46364.0</v>
      </c>
    </row>
    <row r="10">
      <c r="A10" s="1">
        <v>8.163854758E9</v>
      </c>
      <c r="B10" s="1" t="s">
        <v>52</v>
      </c>
      <c r="C10" s="1" t="s">
        <v>67</v>
      </c>
      <c r="D10" s="1">
        <v>1.0</v>
      </c>
      <c r="E10" s="2">
        <v>46364.0</v>
      </c>
    </row>
    <row r="11">
      <c r="A11" s="1">
        <v>8.0667205E8</v>
      </c>
      <c r="B11" s="1" t="s">
        <v>74</v>
      </c>
      <c r="C11" s="1" t="s">
        <v>300</v>
      </c>
      <c r="D11" s="1">
        <v>1.0</v>
      </c>
      <c r="E11" s="2">
        <v>46364.0</v>
      </c>
    </row>
    <row r="12">
      <c r="A12" s="1">
        <v>8.163854758E9</v>
      </c>
      <c r="B12" s="1" t="s">
        <v>52</v>
      </c>
      <c r="C12" s="1" t="s">
        <v>78</v>
      </c>
      <c r="D12" s="1">
        <v>1.0</v>
      </c>
      <c r="E12" s="2">
        <v>46364.0</v>
      </c>
    </row>
    <row r="13">
      <c r="A13" s="1">
        <v>8.163854758E9</v>
      </c>
      <c r="B13" s="1" t="s">
        <v>52</v>
      </c>
      <c r="C13" s="1" t="s">
        <v>301</v>
      </c>
      <c r="D13" s="1">
        <v>1.0</v>
      </c>
      <c r="E13" s="2">
        <v>46364.0</v>
      </c>
    </row>
    <row r="14">
      <c r="A14" s="1">
        <v>7.080910093E9</v>
      </c>
      <c r="B14" s="1" t="s">
        <v>38</v>
      </c>
      <c r="C14" s="1" t="s">
        <v>302</v>
      </c>
      <c r="D14" s="1">
        <v>1.0</v>
      </c>
      <c r="E14" s="2">
        <v>46364.0</v>
      </c>
    </row>
    <row r="15">
      <c r="A15" s="1">
        <v>7.030910093E9</v>
      </c>
      <c r="B15" s="1" t="s">
        <v>38</v>
      </c>
      <c r="C15" s="1" t="s">
        <v>268</v>
      </c>
      <c r="D15" s="1">
        <v>1.0</v>
      </c>
      <c r="E15" s="2">
        <v>46364.0</v>
      </c>
    </row>
    <row r="16">
      <c r="A16" s="1">
        <v>7.036363536E9</v>
      </c>
      <c r="B16" s="1" t="s">
        <v>303</v>
      </c>
      <c r="C16" s="1" t="s">
        <v>304</v>
      </c>
      <c r="D16" s="1">
        <v>1.0</v>
      </c>
      <c r="E16" s="2">
        <v>46364.0</v>
      </c>
    </row>
    <row r="17">
      <c r="A17" s="1">
        <v>8.032151901E9</v>
      </c>
      <c r="B17" s="1" t="s">
        <v>305</v>
      </c>
      <c r="C17" s="1" t="s">
        <v>79</v>
      </c>
      <c r="D17" s="1">
        <v>1.0</v>
      </c>
      <c r="E17" s="1" t="s">
        <v>85</v>
      </c>
    </row>
    <row r="18">
      <c r="A18" s="1">
        <v>8.032151901E9</v>
      </c>
      <c r="B18" s="1" t="s">
        <v>305</v>
      </c>
      <c r="C18" s="1" t="s">
        <v>306</v>
      </c>
      <c r="D18" s="1">
        <v>1.0</v>
      </c>
      <c r="E18" s="1" t="s">
        <v>85</v>
      </c>
    </row>
    <row r="19">
      <c r="A19" s="1">
        <v>8.032151901E9</v>
      </c>
      <c r="B19" s="1" t="s">
        <v>305</v>
      </c>
      <c r="C19" s="1" t="s">
        <v>48</v>
      </c>
      <c r="D19" s="1">
        <v>1.0</v>
      </c>
      <c r="E19" s="1" t="s">
        <v>307</v>
      </c>
    </row>
    <row r="20">
      <c r="A20" s="1">
        <v>9.034606524E9</v>
      </c>
      <c r="B20" s="1" t="s">
        <v>308</v>
      </c>
      <c r="C20" s="1" t="s">
        <v>80</v>
      </c>
      <c r="D20" s="1">
        <v>2.0</v>
      </c>
      <c r="E20" s="1" t="s">
        <v>87</v>
      </c>
    </row>
    <row r="21" ht="15.75" customHeight="1">
      <c r="A21" s="1">
        <v>8.065538794E9</v>
      </c>
      <c r="B21" s="1" t="s">
        <v>88</v>
      </c>
      <c r="C21" s="1" t="s">
        <v>309</v>
      </c>
      <c r="D21" s="1">
        <v>2.0</v>
      </c>
      <c r="E21" s="1" t="s">
        <v>87</v>
      </c>
    </row>
    <row r="22" ht="15.75" customHeight="1">
      <c r="A22" s="1">
        <v>8.033238943E9</v>
      </c>
      <c r="B22" s="1" t="s">
        <v>90</v>
      </c>
      <c r="C22" s="1" t="s">
        <v>68</v>
      </c>
      <c r="D22" s="1">
        <v>1.0</v>
      </c>
      <c r="E22" s="1" t="s">
        <v>87</v>
      </c>
    </row>
    <row r="23" ht="15.75" customHeight="1">
      <c r="A23" s="1">
        <v>8.163854758E9</v>
      </c>
      <c r="B23" s="1" t="s">
        <v>91</v>
      </c>
      <c r="C23" s="1" t="s">
        <v>97</v>
      </c>
      <c r="D23" s="1" t="s">
        <v>310</v>
      </c>
      <c r="E23" s="1" t="s">
        <v>93</v>
      </c>
    </row>
    <row r="24" ht="15.75" customHeight="1">
      <c r="A24" s="1">
        <v>8.163854758E9</v>
      </c>
      <c r="B24" s="1" t="s">
        <v>297</v>
      </c>
      <c r="C24" s="1" t="s">
        <v>68</v>
      </c>
      <c r="D24" s="1" t="s">
        <v>310</v>
      </c>
      <c r="E24" s="1" t="s">
        <v>93</v>
      </c>
    </row>
    <row r="25" ht="15.75" customHeight="1">
      <c r="A25" s="1" t="s">
        <v>297</v>
      </c>
      <c r="B25" s="1" t="s">
        <v>297</v>
      </c>
      <c r="C25" s="1" t="s">
        <v>94</v>
      </c>
      <c r="D25" s="1" t="s">
        <v>310</v>
      </c>
      <c r="E25" s="1" t="s">
        <v>93</v>
      </c>
    </row>
    <row r="26" ht="15.75" customHeight="1">
      <c r="A26" s="1">
        <v>9.034606524E9</v>
      </c>
      <c r="B26" s="1" t="s">
        <v>86</v>
      </c>
      <c r="C26" s="1" t="s">
        <v>80</v>
      </c>
      <c r="D26" s="1" t="s">
        <v>310</v>
      </c>
      <c r="E26" s="1" t="s">
        <v>95</v>
      </c>
    </row>
    <row r="27" ht="15.75" customHeight="1">
      <c r="A27" s="1" t="s">
        <v>297</v>
      </c>
      <c r="B27" s="1" t="s">
        <v>297</v>
      </c>
      <c r="C27" s="1" t="s">
        <v>48</v>
      </c>
      <c r="D27" s="1" t="s">
        <v>96</v>
      </c>
      <c r="E27" s="1" t="s">
        <v>95</v>
      </c>
    </row>
    <row r="28" ht="15.75" customHeight="1">
      <c r="A28" s="1" t="s">
        <v>297</v>
      </c>
      <c r="B28" s="1" t="s">
        <v>297</v>
      </c>
      <c r="C28" s="1" t="s">
        <v>97</v>
      </c>
      <c r="D28" s="1" t="s">
        <v>310</v>
      </c>
      <c r="E28" s="1" t="s">
        <v>95</v>
      </c>
    </row>
    <row r="29" ht="15.75" customHeight="1">
      <c r="A29" s="1">
        <v>8.032151901E9</v>
      </c>
      <c r="B29" s="1" t="s">
        <v>59</v>
      </c>
      <c r="C29" s="1" t="s">
        <v>311</v>
      </c>
      <c r="D29" s="1" t="s">
        <v>92</v>
      </c>
      <c r="E29" s="1" t="s">
        <v>95</v>
      </c>
    </row>
    <row r="30" ht="15.75" customHeight="1">
      <c r="A30" s="1" t="s">
        <v>297</v>
      </c>
      <c r="B30" s="1" t="s">
        <v>297</v>
      </c>
      <c r="C30" s="1" t="s">
        <v>309</v>
      </c>
      <c r="D30" s="1" t="s">
        <v>92</v>
      </c>
      <c r="E30" s="1" t="s">
        <v>95</v>
      </c>
    </row>
    <row r="31" ht="15.75" customHeight="1">
      <c r="A31" s="1" t="s">
        <v>297</v>
      </c>
      <c r="B31" s="1" t="s">
        <v>297</v>
      </c>
      <c r="C31" s="1" t="s">
        <v>68</v>
      </c>
      <c r="D31" s="1" t="s">
        <v>92</v>
      </c>
      <c r="E31" s="1" t="s">
        <v>95</v>
      </c>
    </row>
    <row r="32" ht="15.75" customHeight="1">
      <c r="A32" s="1">
        <v>8.163005469E9</v>
      </c>
      <c r="B32" s="1" t="s">
        <v>59</v>
      </c>
      <c r="C32" s="1" t="s">
        <v>99</v>
      </c>
      <c r="D32" s="1" t="s">
        <v>96</v>
      </c>
      <c r="E32" s="1" t="s">
        <v>95</v>
      </c>
    </row>
    <row r="33" ht="15.75" customHeight="1">
      <c r="A33" s="1">
        <v>8.064995955E9</v>
      </c>
      <c r="B33" s="1" t="s">
        <v>100</v>
      </c>
      <c r="C33" s="1" t="s">
        <v>101</v>
      </c>
      <c r="D33" s="1" t="s">
        <v>92</v>
      </c>
      <c r="E33" s="1" t="s">
        <v>95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3" width="14.75"/>
    <col customWidth="1" min="4" max="4" width="16.25"/>
    <col customWidth="1" min="5" max="5" width="12.63"/>
    <col customWidth="1" min="6" max="6" width="17.38"/>
  </cols>
  <sheetData>
    <row r="1" ht="25.5" customHeight="1">
      <c r="A1" s="11" t="s">
        <v>71</v>
      </c>
      <c r="B1" s="12" t="s">
        <v>211</v>
      </c>
      <c r="C1" s="12" t="s">
        <v>0</v>
      </c>
      <c r="D1" s="11" t="s">
        <v>1</v>
      </c>
      <c r="E1" s="11" t="s">
        <v>213</v>
      </c>
      <c r="F1" s="11" t="s">
        <v>69</v>
      </c>
      <c r="G1" s="11" t="s">
        <v>3</v>
      </c>
      <c r="H1" s="11"/>
    </row>
    <row r="2">
      <c r="A2" s="13">
        <v>46259.0</v>
      </c>
      <c r="B2" s="9"/>
      <c r="C2" s="9" t="s">
        <v>312</v>
      </c>
      <c r="D2" s="1" t="s">
        <v>58</v>
      </c>
      <c r="E2" s="1" t="s">
        <v>59</v>
      </c>
      <c r="F2" s="1" t="s">
        <v>273</v>
      </c>
      <c r="G2" s="1">
        <v>1.0</v>
      </c>
    </row>
    <row r="3">
      <c r="A3" s="13">
        <v>46260.0</v>
      </c>
      <c r="B3" s="9"/>
      <c r="C3" s="9" t="s">
        <v>313</v>
      </c>
      <c r="D3" s="1" t="s">
        <v>52</v>
      </c>
      <c r="E3" s="1" t="s">
        <v>216</v>
      </c>
      <c r="F3" s="1" t="s">
        <v>68</v>
      </c>
      <c r="G3" s="1">
        <v>2.0</v>
      </c>
    </row>
    <row r="4">
      <c r="A4" s="13">
        <v>46260.0</v>
      </c>
      <c r="B4" s="9"/>
      <c r="C4" s="9" t="s">
        <v>314</v>
      </c>
      <c r="D4" s="1" t="s">
        <v>38</v>
      </c>
      <c r="E4" s="1" t="s">
        <v>38</v>
      </c>
      <c r="F4" s="1" t="s">
        <v>36</v>
      </c>
      <c r="G4" s="1">
        <v>1.0</v>
      </c>
    </row>
    <row r="5">
      <c r="A5" s="13">
        <v>46260.0</v>
      </c>
      <c r="B5" s="9"/>
      <c r="C5" s="9" t="s">
        <v>314</v>
      </c>
      <c r="D5" s="1" t="s">
        <v>38</v>
      </c>
      <c r="E5" s="1" t="s">
        <v>38</v>
      </c>
      <c r="F5" s="1" t="s">
        <v>94</v>
      </c>
      <c r="G5" s="1">
        <v>1.0</v>
      </c>
    </row>
    <row r="6">
      <c r="A6" s="13">
        <v>46260.0</v>
      </c>
      <c r="B6" s="9"/>
      <c r="C6" s="9" t="s">
        <v>315</v>
      </c>
      <c r="D6" s="1" t="s">
        <v>58</v>
      </c>
      <c r="E6" s="1" t="s">
        <v>58</v>
      </c>
      <c r="F6" s="1" t="s">
        <v>274</v>
      </c>
      <c r="G6" s="1">
        <v>1.0</v>
      </c>
    </row>
    <row r="7">
      <c r="A7" s="13">
        <v>46261.0</v>
      </c>
      <c r="B7" s="9"/>
      <c r="C7" s="9" t="s">
        <v>316</v>
      </c>
      <c r="D7" s="1" t="s">
        <v>77</v>
      </c>
      <c r="E7" s="1" t="s">
        <v>216</v>
      </c>
      <c r="F7" s="1" t="s">
        <v>275</v>
      </c>
      <c r="G7" s="1">
        <v>1.0</v>
      </c>
    </row>
    <row r="8">
      <c r="A8" s="13">
        <v>46261.0</v>
      </c>
      <c r="B8" s="9"/>
      <c r="C8" s="9" t="s">
        <v>316</v>
      </c>
      <c r="D8" s="1" t="s">
        <v>77</v>
      </c>
      <c r="E8" s="1" t="s">
        <v>216</v>
      </c>
      <c r="F8" s="1" t="s">
        <v>276</v>
      </c>
      <c r="G8" s="1">
        <v>1.0</v>
      </c>
    </row>
    <row r="9">
      <c r="A9" s="13">
        <v>46261.0</v>
      </c>
      <c r="B9" s="9"/>
      <c r="C9" s="9" t="s">
        <v>317</v>
      </c>
      <c r="D9" s="1" t="s">
        <v>77</v>
      </c>
      <c r="E9" s="1" t="s">
        <v>216</v>
      </c>
      <c r="F9" s="1" t="s">
        <v>277</v>
      </c>
      <c r="G9" s="1">
        <v>1.0</v>
      </c>
    </row>
    <row r="10">
      <c r="A10" s="13">
        <v>46262.0</v>
      </c>
      <c r="B10" s="9"/>
      <c r="C10" s="9" t="s">
        <v>317</v>
      </c>
      <c r="D10" s="1" t="s">
        <v>77</v>
      </c>
      <c r="E10" s="1" t="s">
        <v>216</v>
      </c>
      <c r="F10" s="1" t="s">
        <v>277</v>
      </c>
      <c r="G10" s="1">
        <v>1.0</v>
      </c>
    </row>
    <row r="11">
      <c r="A11" s="13">
        <v>46265.0</v>
      </c>
      <c r="B11" s="9"/>
      <c r="C11" s="9" t="s">
        <v>318</v>
      </c>
      <c r="D11" s="1" t="s">
        <v>225</v>
      </c>
      <c r="E11" s="1" t="s">
        <v>59</v>
      </c>
      <c r="F11" s="1" t="s">
        <v>80</v>
      </c>
      <c r="G11" s="1">
        <v>1.0</v>
      </c>
    </row>
    <row r="12">
      <c r="A12" s="13">
        <v>46265.0</v>
      </c>
      <c r="B12" s="9"/>
      <c r="C12" s="9" t="s">
        <v>318</v>
      </c>
      <c r="D12" s="1" t="s">
        <v>225</v>
      </c>
      <c r="E12" s="1" t="s">
        <v>59</v>
      </c>
      <c r="F12" s="1" t="s">
        <v>278</v>
      </c>
      <c r="G12" s="1">
        <v>1.0</v>
      </c>
    </row>
    <row r="13">
      <c r="A13" s="13">
        <v>46265.0</v>
      </c>
      <c r="B13" s="9"/>
      <c r="C13" s="9" t="s">
        <v>319</v>
      </c>
      <c r="D13" s="1" t="s">
        <v>225</v>
      </c>
      <c r="E13" s="1" t="s">
        <v>59</v>
      </c>
      <c r="F13" s="1" t="s">
        <v>279</v>
      </c>
      <c r="G13" s="1">
        <v>2.0</v>
      </c>
    </row>
    <row r="14">
      <c r="A14" s="13">
        <v>46265.0</v>
      </c>
      <c r="B14" s="9"/>
      <c r="C14" s="9" t="s">
        <v>319</v>
      </c>
      <c r="D14" s="1" t="s">
        <v>225</v>
      </c>
      <c r="E14" s="1" t="s">
        <v>59</v>
      </c>
      <c r="F14" s="1" t="s">
        <v>94</v>
      </c>
      <c r="G14" s="1">
        <v>2.0</v>
      </c>
    </row>
    <row r="15">
      <c r="A15" s="13">
        <v>46265.0</v>
      </c>
      <c r="B15" s="9"/>
      <c r="C15" s="9" t="s">
        <v>319</v>
      </c>
      <c r="D15" s="1" t="s">
        <v>225</v>
      </c>
      <c r="E15" s="1" t="s">
        <v>59</v>
      </c>
      <c r="F15" s="1" t="s">
        <v>68</v>
      </c>
      <c r="G15" s="1">
        <v>1.0</v>
      </c>
    </row>
    <row r="16">
      <c r="A16" s="13">
        <v>46265.0</v>
      </c>
      <c r="B16" s="9"/>
      <c r="C16" s="9" t="s">
        <v>319</v>
      </c>
      <c r="D16" s="1" t="s">
        <v>225</v>
      </c>
      <c r="E16" s="1" t="s">
        <v>59</v>
      </c>
      <c r="F16" s="1" t="s">
        <v>175</v>
      </c>
      <c r="G16" s="1">
        <v>2.0</v>
      </c>
    </row>
    <row r="17">
      <c r="A17" s="13">
        <v>46266.0</v>
      </c>
      <c r="B17" s="9"/>
      <c r="C17" s="9" t="s">
        <v>320</v>
      </c>
      <c r="D17" s="1" t="s">
        <v>321</v>
      </c>
      <c r="E17" s="1" t="s">
        <v>248</v>
      </c>
      <c r="F17" s="1" t="s">
        <v>80</v>
      </c>
      <c r="G17" s="1">
        <v>2.0</v>
      </c>
    </row>
    <row r="18">
      <c r="A18" s="13">
        <v>46268.0</v>
      </c>
      <c r="B18" s="9"/>
      <c r="C18" s="9" t="s">
        <v>322</v>
      </c>
      <c r="D18" s="1" t="s">
        <v>323</v>
      </c>
      <c r="E18" s="1" t="s">
        <v>59</v>
      </c>
      <c r="F18" s="1" t="s">
        <v>227</v>
      </c>
      <c r="G18" s="1">
        <v>1.0</v>
      </c>
    </row>
    <row r="19">
      <c r="A19" s="13">
        <v>46268.0</v>
      </c>
      <c r="B19" s="9"/>
      <c r="C19" s="9" t="s">
        <v>322</v>
      </c>
      <c r="D19" s="1" t="s">
        <v>323</v>
      </c>
      <c r="E19" s="1" t="s">
        <v>59</v>
      </c>
      <c r="F19" s="1" t="s">
        <v>324</v>
      </c>
      <c r="G19" s="1">
        <v>1.0</v>
      </c>
    </row>
    <row r="20">
      <c r="A20" s="13">
        <v>46268.0</v>
      </c>
      <c r="B20" s="9"/>
      <c r="C20" s="9" t="s">
        <v>322</v>
      </c>
      <c r="D20" s="1" t="s">
        <v>323</v>
      </c>
      <c r="E20" s="1" t="s">
        <v>59</v>
      </c>
      <c r="F20" s="1" t="s">
        <v>325</v>
      </c>
      <c r="G20" s="1">
        <v>1.0</v>
      </c>
    </row>
    <row r="21" ht="15.75" customHeight="1">
      <c r="A21" s="13">
        <v>46268.0</v>
      </c>
      <c r="B21" s="9"/>
      <c r="C21" s="9" t="s">
        <v>322</v>
      </c>
      <c r="D21" s="1" t="s">
        <v>323</v>
      </c>
      <c r="E21" s="1" t="s">
        <v>59</v>
      </c>
      <c r="F21" s="1" t="s">
        <v>326</v>
      </c>
      <c r="G21" s="1">
        <v>1.0</v>
      </c>
    </row>
    <row r="22" ht="15.75" customHeight="1">
      <c r="A22" s="13">
        <v>46268.0</v>
      </c>
      <c r="B22" s="9"/>
      <c r="C22" s="9" t="s">
        <v>327</v>
      </c>
      <c r="D22" s="1" t="s">
        <v>58</v>
      </c>
      <c r="E22" s="1" t="s">
        <v>58</v>
      </c>
      <c r="F22" s="1" t="s">
        <v>326</v>
      </c>
      <c r="G22" s="1">
        <v>1.0</v>
      </c>
    </row>
    <row r="23" ht="15.75" customHeight="1">
      <c r="A23" s="13">
        <v>46268.0</v>
      </c>
      <c r="B23" s="9"/>
      <c r="C23" s="9" t="s">
        <v>328</v>
      </c>
      <c r="D23" s="1" t="s">
        <v>38</v>
      </c>
      <c r="E23" s="1" t="s">
        <v>38</v>
      </c>
      <c r="F23" s="1" t="s">
        <v>227</v>
      </c>
      <c r="G23" s="1">
        <v>2.0</v>
      </c>
    </row>
    <row r="24" ht="15.75" customHeight="1">
      <c r="A24" s="13">
        <v>46269.0</v>
      </c>
      <c r="B24" s="9"/>
      <c r="C24" s="9" t="s">
        <v>329</v>
      </c>
      <c r="D24" s="1" t="s">
        <v>330</v>
      </c>
      <c r="E24" s="1"/>
      <c r="F24" s="1" t="s">
        <v>324</v>
      </c>
      <c r="G24" s="1">
        <v>6.0</v>
      </c>
    </row>
    <row r="25" ht="15.75" customHeight="1">
      <c r="A25" s="13">
        <v>46269.0</v>
      </c>
      <c r="B25" s="9"/>
      <c r="C25" s="9" t="s">
        <v>329</v>
      </c>
      <c r="D25" s="1" t="s">
        <v>330</v>
      </c>
      <c r="E25" s="1"/>
      <c r="F25" s="1" t="s">
        <v>36</v>
      </c>
      <c r="G25" s="1">
        <v>1.0</v>
      </c>
    </row>
    <row r="26" ht="15.75" customHeight="1">
      <c r="A26" s="13">
        <v>46269.0</v>
      </c>
      <c r="B26" s="9"/>
      <c r="C26" s="9" t="s">
        <v>329</v>
      </c>
      <c r="D26" s="1" t="s">
        <v>330</v>
      </c>
      <c r="E26" s="1"/>
      <c r="F26" s="1" t="s">
        <v>68</v>
      </c>
      <c r="G26" s="1">
        <v>1.0</v>
      </c>
    </row>
    <row r="27" ht="15.75" customHeight="1">
      <c r="A27" s="13">
        <v>46269.0</v>
      </c>
      <c r="B27" s="9"/>
      <c r="C27" s="9" t="s">
        <v>329</v>
      </c>
      <c r="D27" s="1" t="s">
        <v>330</v>
      </c>
      <c r="E27" s="1"/>
      <c r="F27" s="1" t="s">
        <v>227</v>
      </c>
      <c r="G27" s="1">
        <v>1.0</v>
      </c>
    </row>
    <row r="28" ht="15.75" customHeight="1">
      <c r="A28" s="13">
        <v>46269.0</v>
      </c>
      <c r="B28" s="9"/>
      <c r="C28" s="9" t="s">
        <v>331</v>
      </c>
      <c r="D28" s="1" t="s">
        <v>5</v>
      </c>
      <c r="E28" s="1" t="s">
        <v>222</v>
      </c>
      <c r="F28" s="1" t="s">
        <v>68</v>
      </c>
      <c r="G28" s="1">
        <v>1.0</v>
      </c>
    </row>
    <row r="29" ht="15.75" customHeight="1">
      <c r="A29" s="13">
        <v>46269.0</v>
      </c>
      <c r="B29" s="9"/>
      <c r="C29" s="9" t="s">
        <v>331</v>
      </c>
      <c r="D29" s="1" t="s">
        <v>5</v>
      </c>
      <c r="E29" s="1" t="s">
        <v>222</v>
      </c>
      <c r="F29" s="1" t="s">
        <v>36</v>
      </c>
      <c r="G29" s="1">
        <v>2.0</v>
      </c>
    </row>
    <row r="30" ht="15.75" customHeight="1">
      <c r="A30" s="13">
        <v>46270.0</v>
      </c>
      <c r="B30" s="9"/>
      <c r="C30" s="9" t="s">
        <v>332</v>
      </c>
      <c r="D30" s="1" t="s">
        <v>203</v>
      </c>
      <c r="E30" s="1" t="s">
        <v>222</v>
      </c>
      <c r="F30" s="1" t="s">
        <v>68</v>
      </c>
      <c r="G30" s="1">
        <v>1.0</v>
      </c>
    </row>
    <row r="31" ht="15.75" customHeight="1">
      <c r="A31" s="13">
        <v>46270.0</v>
      </c>
      <c r="B31" s="9"/>
      <c r="C31" s="9" t="s">
        <v>332</v>
      </c>
      <c r="D31" s="1" t="s">
        <v>203</v>
      </c>
      <c r="E31" s="1" t="s">
        <v>222</v>
      </c>
      <c r="F31" s="1" t="s">
        <v>176</v>
      </c>
      <c r="G31" s="1">
        <v>1.0</v>
      </c>
    </row>
    <row r="32" ht="15.75" customHeight="1">
      <c r="A32" s="13">
        <v>46270.0</v>
      </c>
      <c r="B32" s="9"/>
      <c r="C32" s="9" t="s">
        <v>332</v>
      </c>
      <c r="D32" s="1" t="s">
        <v>203</v>
      </c>
      <c r="E32" s="1" t="s">
        <v>222</v>
      </c>
      <c r="F32" s="1" t="s">
        <v>333</v>
      </c>
      <c r="G32" s="1">
        <v>1.0</v>
      </c>
    </row>
    <row r="33" ht="15.75" customHeight="1">
      <c r="B33" s="9"/>
      <c r="C33" s="9"/>
    </row>
    <row r="34" ht="15.75" customHeight="1">
      <c r="B34" s="9"/>
      <c r="C34" s="9"/>
    </row>
    <row r="35" ht="15.75" customHeight="1">
      <c r="B35" s="9"/>
      <c r="C35" s="9"/>
    </row>
    <row r="36" ht="15.75" customHeight="1">
      <c r="B36" s="9"/>
      <c r="C36" s="9"/>
    </row>
    <row r="37" ht="15.75" customHeight="1">
      <c r="B37" s="9"/>
      <c r="C37" s="9"/>
    </row>
    <row r="38" ht="15.75" customHeight="1">
      <c r="B38" s="9"/>
      <c r="C38" s="9"/>
    </row>
    <row r="39" ht="15.75" customHeight="1">
      <c r="B39" s="9"/>
      <c r="C39" s="9"/>
    </row>
    <row r="40" ht="15.75" customHeight="1">
      <c r="B40" s="9"/>
      <c r="C40" s="9"/>
    </row>
    <row r="41" ht="15.75" customHeight="1">
      <c r="B41" s="9"/>
      <c r="C41" s="9"/>
    </row>
    <row r="42" ht="15.75" customHeight="1">
      <c r="B42" s="9"/>
      <c r="C42" s="9"/>
    </row>
    <row r="43" ht="15.75" customHeight="1">
      <c r="B43" s="9"/>
      <c r="C43" s="9"/>
    </row>
    <row r="44" ht="15.75" customHeight="1">
      <c r="B44" s="9"/>
      <c r="C44" s="9"/>
    </row>
    <row r="45" ht="15.75" customHeight="1">
      <c r="B45" s="9"/>
      <c r="C45" s="9"/>
    </row>
    <row r="46" ht="15.75" customHeight="1">
      <c r="B46" s="9"/>
      <c r="C46" s="9"/>
    </row>
    <row r="47" ht="15.75" customHeight="1">
      <c r="B47" s="9"/>
      <c r="C47" s="9"/>
    </row>
    <row r="48" ht="15.75" customHeight="1">
      <c r="B48" s="9"/>
      <c r="C48" s="9"/>
    </row>
    <row r="49" ht="15.75" customHeight="1">
      <c r="B49" s="9"/>
      <c r="C49" s="9"/>
    </row>
    <row r="50" ht="15.75" customHeight="1">
      <c r="B50" s="9"/>
      <c r="C50" s="9"/>
    </row>
    <row r="51" ht="15.75" customHeight="1">
      <c r="B51" s="9"/>
      <c r="C51" s="9"/>
    </row>
    <row r="52" ht="15.75" customHeight="1">
      <c r="B52" s="9"/>
      <c r="C52" s="9"/>
    </row>
    <row r="53" ht="15.75" customHeight="1">
      <c r="B53" s="9"/>
      <c r="C53" s="9"/>
    </row>
    <row r="54" ht="15.75" customHeight="1">
      <c r="B54" s="9"/>
      <c r="C54" s="9"/>
    </row>
    <row r="55" ht="15.75" customHeight="1">
      <c r="B55" s="9"/>
      <c r="C55" s="9"/>
    </row>
    <row r="56" ht="15.75" customHeight="1">
      <c r="B56" s="9"/>
      <c r="C56" s="9"/>
    </row>
    <row r="57" ht="15.75" customHeight="1">
      <c r="B57" s="9"/>
      <c r="C57" s="9"/>
    </row>
    <row r="58" ht="15.75" customHeight="1">
      <c r="B58" s="9"/>
      <c r="C58" s="9"/>
    </row>
    <row r="59" ht="15.75" customHeight="1">
      <c r="B59" s="9"/>
      <c r="C59" s="9"/>
    </row>
    <row r="60" ht="15.75" customHeight="1">
      <c r="B60" s="9"/>
      <c r="C60" s="9"/>
    </row>
    <row r="61" ht="15.75" customHeight="1">
      <c r="B61" s="9"/>
      <c r="C61" s="9"/>
    </row>
    <row r="62" ht="15.75" customHeight="1">
      <c r="B62" s="9"/>
      <c r="C62" s="9"/>
    </row>
    <row r="63" ht="15.75" customHeight="1">
      <c r="B63" s="9"/>
      <c r="C63" s="9"/>
    </row>
    <row r="64" ht="15.75" customHeight="1">
      <c r="B64" s="9"/>
      <c r="C64" s="9"/>
    </row>
    <row r="65" ht="15.75" customHeight="1">
      <c r="B65" s="9"/>
      <c r="C65" s="9"/>
    </row>
    <row r="66" ht="15.75" customHeight="1">
      <c r="B66" s="9"/>
      <c r="C66" s="9"/>
    </row>
    <row r="67" ht="15.75" customHeight="1">
      <c r="B67" s="9"/>
      <c r="C67" s="9"/>
    </row>
    <row r="68" ht="15.75" customHeight="1">
      <c r="B68" s="9"/>
      <c r="C68" s="9"/>
    </row>
    <row r="69" ht="15.75" customHeight="1">
      <c r="B69" s="9"/>
      <c r="C69" s="9"/>
    </row>
    <row r="70" ht="15.75" customHeight="1">
      <c r="B70" s="9"/>
      <c r="C70" s="9"/>
    </row>
    <row r="71" ht="15.75" customHeight="1">
      <c r="B71" s="9"/>
      <c r="C71" s="9"/>
    </row>
    <row r="72" ht="15.75" customHeight="1">
      <c r="B72" s="9"/>
      <c r="C72" s="9"/>
    </row>
    <row r="73" ht="15.75" customHeight="1">
      <c r="B73" s="9"/>
      <c r="C73" s="9"/>
    </row>
    <row r="74" ht="15.75" customHeight="1">
      <c r="B74" s="9"/>
      <c r="C74" s="9"/>
    </row>
    <row r="75" ht="15.75" customHeight="1">
      <c r="B75" s="9"/>
      <c r="C75" s="9"/>
    </row>
    <row r="76" ht="15.75" customHeight="1">
      <c r="B76" s="9"/>
      <c r="C76" s="9"/>
    </row>
    <row r="77" ht="15.75" customHeight="1">
      <c r="B77" s="9"/>
      <c r="C77" s="9"/>
    </row>
    <row r="78" ht="15.75" customHeight="1">
      <c r="B78" s="9"/>
      <c r="C78" s="9"/>
    </row>
    <row r="79" ht="15.75" customHeight="1">
      <c r="B79" s="9"/>
      <c r="C79" s="9"/>
    </row>
    <row r="80" ht="15.75" customHeight="1">
      <c r="B80" s="9"/>
      <c r="C80" s="9"/>
    </row>
    <row r="81" ht="15.75" customHeight="1">
      <c r="B81" s="9"/>
      <c r="C81" s="9"/>
    </row>
    <row r="82" ht="15.75" customHeight="1">
      <c r="B82" s="9"/>
      <c r="C82" s="9"/>
    </row>
    <row r="83" ht="15.75" customHeight="1">
      <c r="B83" s="9"/>
      <c r="C83" s="9"/>
    </row>
    <row r="84" ht="15.75" customHeight="1">
      <c r="B84" s="9"/>
      <c r="C84" s="9"/>
    </row>
    <row r="85" ht="15.75" customHeight="1">
      <c r="B85" s="9"/>
      <c r="C85" s="9"/>
    </row>
    <row r="86" ht="15.75" customHeight="1">
      <c r="B86" s="9"/>
      <c r="C86" s="9"/>
    </row>
    <row r="87" ht="15.75" customHeight="1">
      <c r="B87" s="9"/>
      <c r="C87" s="9"/>
    </row>
    <row r="88" ht="15.75" customHeight="1">
      <c r="B88" s="9"/>
      <c r="C88" s="9"/>
    </row>
    <row r="89" ht="15.75" customHeight="1">
      <c r="B89" s="9"/>
      <c r="C89" s="9"/>
    </row>
    <row r="90" ht="15.75" customHeight="1">
      <c r="B90" s="9"/>
      <c r="C90" s="9"/>
    </row>
    <row r="91" ht="15.75" customHeight="1">
      <c r="B91" s="9"/>
      <c r="C91" s="9"/>
    </row>
    <row r="92" ht="15.75" customHeight="1">
      <c r="B92" s="9"/>
      <c r="C92" s="9"/>
    </row>
    <row r="93" ht="15.75" customHeight="1">
      <c r="B93" s="9"/>
      <c r="C93" s="9"/>
    </row>
    <row r="94" ht="15.75" customHeight="1">
      <c r="B94" s="9"/>
      <c r="C94" s="9"/>
    </row>
    <row r="95" ht="15.75" customHeight="1">
      <c r="B95" s="9"/>
      <c r="C95" s="9"/>
    </row>
    <row r="96" ht="15.75" customHeight="1">
      <c r="B96" s="9"/>
      <c r="C96" s="9"/>
    </row>
    <row r="97" ht="15.75" customHeight="1">
      <c r="B97" s="9"/>
      <c r="C97" s="9"/>
    </row>
    <row r="98" ht="15.75" customHeight="1">
      <c r="B98" s="9"/>
      <c r="C98" s="9"/>
    </row>
    <row r="99" ht="15.75" customHeight="1">
      <c r="B99" s="9"/>
      <c r="C99" s="9"/>
    </row>
    <row r="100" ht="15.75" customHeight="1">
      <c r="B100" s="9"/>
      <c r="C100" s="9"/>
    </row>
    <row r="101" ht="15.75" customHeight="1">
      <c r="B101" s="9"/>
      <c r="C101" s="9"/>
    </row>
    <row r="102" ht="15.75" customHeight="1">
      <c r="B102" s="9"/>
      <c r="C102" s="9"/>
    </row>
    <row r="103" ht="15.75" customHeight="1">
      <c r="B103" s="9"/>
      <c r="C103" s="9"/>
    </row>
    <row r="104" ht="15.75" customHeight="1">
      <c r="B104" s="9"/>
      <c r="C104" s="9"/>
    </row>
    <row r="105" ht="15.75" customHeight="1">
      <c r="B105" s="9"/>
      <c r="C105" s="9"/>
    </row>
    <row r="106" ht="15.75" customHeight="1">
      <c r="B106" s="9"/>
      <c r="C106" s="9"/>
    </row>
    <row r="107" ht="15.75" customHeight="1">
      <c r="B107" s="9"/>
      <c r="C107" s="9"/>
    </row>
    <row r="108" ht="15.75" customHeight="1">
      <c r="B108" s="9"/>
      <c r="C108" s="9"/>
    </row>
    <row r="109" ht="15.75" customHeight="1">
      <c r="B109" s="9"/>
      <c r="C109" s="9"/>
    </row>
    <row r="110" ht="15.75" customHeight="1">
      <c r="B110" s="9"/>
      <c r="C110" s="9"/>
    </row>
    <row r="111" ht="15.75" customHeight="1">
      <c r="B111" s="9"/>
      <c r="C111" s="9"/>
    </row>
    <row r="112" ht="15.75" customHeight="1">
      <c r="B112" s="9"/>
      <c r="C112" s="9"/>
    </row>
    <row r="113" ht="15.75" customHeight="1">
      <c r="B113" s="9"/>
      <c r="C113" s="9"/>
    </row>
    <row r="114" ht="15.75" customHeight="1">
      <c r="B114" s="9"/>
      <c r="C114" s="9"/>
    </row>
    <row r="115" ht="15.75" customHeight="1">
      <c r="B115" s="9"/>
      <c r="C115" s="9"/>
    </row>
    <row r="116" ht="15.75" customHeight="1">
      <c r="B116" s="9"/>
      <c r="C116" s="9"/>
    </row>
    <row r="117" ht="15.75" customHeight="1">
      <c r="B117" s="9"/>
      <c r="C117" s="9"/>
    </row>
    <row r="118" ht="15.75" customHeight="1">
      <c r="B118" s="9"/>
      <c r="C118" s="9"/>
    </row>
    <row r="119" ht="15.75" customHeight="1">
      <c r="B119" s="9"/>
      <c r="C119" s="9"/>
    </row>
    <row r="120" ht="15.75" customHeight="1">
      <c r="B120" s="9"/>
      <c r="C120" s="9"/>
    </row>
    <row r="121" ht="15.75" customHeight="1">
      <c r="B121" s="9"/>
      <c r="C121" s="9"/>
    </row>
    <row r="122" ht="15.75" customHeight="1">
      <c r="B122" s="9"/>
      <c r="C122" s="9"/>
    </row>
    <row r="123" ht="15.75" customHeight="1">
      <c r="B123" s="9"/>
      <c r="C123" s="9"/>
    </row>
    <row r="124" ht="15.75" customHeight="1">
      <c r="B124" s="9"/>
      <c r="C124" s="9"/>
    </row>
    <row r="125" ht="15.75" customHeight="1">
      <c r="B125" s="9"/>
      <c r="C125" s="9"/>
    </row>
    <row r="126" ht="15.75" customHeight="1">
      <c r="B126" s="9"/>
      <c r="C126" s="9"/>
    </row>
    <row r="127" ht="15.75" customHeight="1">
      <c r="B127" s="9"/>
      <c r="C127" s="9"/>
    </row>
    <row r="128" ht="15.75" customHeight="1">
      <c r="B128" s="9"/>
      <c r="C128" s="9"/>
    </row>
    <row r="129" ht="15.75" customHeight="1">
      <c r="B129" s="9"/>
      <c r="C129" s="9"/>
    </row>
    <row r="130" ht="15.75" customHeight="1">
      <c r="B130" s="9"/>
      <c r="C130" s="9"/>
    </row>
    <row r="131" ht="15.75" customHeight="1">
      <c r="B131" s="9"/>
      <c r="C131" s="9"/>
    </row>
    <row r="132" ht="15.75" customHeight="1">
      <c r="B132" s="9"/>
      <c r="C132" s="9"/>
    </row>
    <row r="133" ht="15.75" customHeight="1">
      <c r="B133" s="9"/>
      <c r="C133" s="9"/>
    </row>
    <row r="134" ht="15.75" customHeight="1">
      <c r="B134" s="9"/>
      <c r="C134" s="9"/>
    </row>
    <row r="135" ht="15.75" customHeight="1">
      <c r="B135" s="9"/>
      <c r="C135" s="9"/>
    </row>
    <row r="136" ht="15.75" customHeight="1">
      <c r="B136" s="9"/>
      <c r="C136" s="9"/>
    </row>
    <row r="137" ht="15.75" customHeight="1">
      <c r="B137" s="9"/>
      <c r="C137" s="9"/>
    </row>
    <row r="138" ht="15.75" customHeight="1">
      <c r="B138" s="9"/>
      <c r="C138" s="9"/>
    </row>
    <row r="139" ht="15.75" customHeight="1">
      <c r="B139" s="9"/>
      <c r="C139" s="9"/>
    </row>
    <row r="140" ht="15.75" customHeight="1">
      <c r="B140" s="9"/>
      <c r="C140" s="9"/>
    </row>
    <row r="141" ht="15.75" customHeight="1">
      <c r="B141" s="9"/>
      <c r="C141" s="9"/>
    </row>
    <row r="142" ht="15.75" customHeight="1">
      <c r="B142" s="9"/>
      <c r="C142" s="9"/>
    </row>
    <row r="143" ht="15.75" customHeight="1">
      <c r="B143" s="9"/>
      <c r="C143" s="9"/>
    </row>
    <row r="144" ht="15.75" customHeight="1">
      <c r="B144" s="9"/>
      <c r="C144" s="9"/>
    </row>
    <row r="145" ht="15.75" customHeight="1">
      <c r="B145" s="9"/>
      <c r="C145" s="9"/>
    </row>
    <row r="146" ht="15.75" customHeight="1">
      <c r="B146" s="9"/>
      <c r="C146" s="9"/>
    </row>
    <row r="147" ht="15.75" customHeight="1">
      <c r="B147" s="9"/>
      <c r="C147" s="9"/>
    </row>
    <row r="148" ht="15.75" customHeight="1">
      <c r="B148" s="9"/>
      <c r="C148" s="9"/>
    </row>
    <row r="149" ht="15.75" customHeight="1">
      <c r="B149" s="9"/>
      <c r="C149" s="9"/>
    </row>
    <row r="150" ht="15.75" customHeight="1">
      <c r="B150" s="9"/>
      <c r="C150" s="9"/>
    </row>
    <row r="151" ht="15.75" customHeight="1">
      <c r="B151" s="9"/>
      <c r="C151" s="9"/>
    </row>
    <row r="152" ht="15.75" customHeight="1">
      <c r="B152" s="9"/>
      <c r="C152" s="9"/>
    </row>
    <row r="153" ht="15.75" customHeight="1">
      <c r="B153" s="9"/>
      <c r="C153" s="9"/>
    </row>
    <row r="154" ht="15.75" customHeight="1">
      <c r="B154" s="9"/>
      <c r="C154" s="9"/>
    </row>
    <row r="155" ht="15.75" customHeight="1">
      <c r="B155" s="9"/>
      <c r="C155" s="9"/>
    </row>
    <row r="156" ht="15.75" customHeight="1">
      <c r="B156" s="9"/>
      <c r="C156" s="9"/>
    </row>
    <row r="157" ht="15.75" customHeight="1">
      <c r="B157" s="9"/>
      <c r="C157" s="9"/>
    </row>
    <row r="158" ht="15.75" customHeight="1">
      <c r="B158" s="9"/>
      <c r="C158" s="9"/>
    </row>
    <row r="159" ht="15.75" customHeight="1">
      <c r="B159" s="9"/>
      <c r="C159" s="9"/>
    </row>
    <row r="160" ht="15.75" customHeight="1">
      <c r="B160" s="9"/>
      <c r="C160" s="9"/>
    </row>
    <row r="161" ht="15.75" customHeight="1">
      <c r="B161" s="9"/>
      <c r="C161" s="9"/>
    </row>
    <row r="162" ht="15.75" customHeight="1">
      <c r="B162" s="9"/>
      <c r="C162" s="9"/>
    </row>
    <row r="163" ht="15.75" customHeight="1">
      <c r="B163" s="9"/>
      <c r="C163" s="9"/>
    </row>
    <row r="164" ht="15.75" customHeight="1">
      <c r="B164" s="9"/>
      <c r="C164" s="9"/>
    </row>
    <row r="165" ht="15.75" customHeight="1">
      <c r="B165" s="9"/>
      <c r="C165" s="9"/>
    </row>
    <row r="166" ht="15.75" customHeight="1">
      <c r="B166" s="9"/>
      <c r="C166" s="9"/>
    </row>
    <row r="167" ht="15.75" customHeight="1">
      <c r="B167" s="9"/>
      <c r="C167" s="9"/>
    </row>
    <row r="168" ht="15.75" customHeight="1">
      <c r="B168" s="9"/>
      <c r="C168" s="9"/>
    </row>
    <row r="169" ht="15.75" customHeight="1">
      <c r="B169" s="9"/>
      <c r="C169" s="9"/>
    </row>
    <row r="170" ht="15.75" customHeight="1">
      <c r="B170" s="9"/>
      <c r="C170" s="9"/>
    </row>
    <row r="171" ht="15.75" customHeight="1">
      <c r="B171" s="9"/>
      <c r="C171" s="9"/>
    </row>
    <row r="172" ht="15.75" customHeight="1">
      <c r="B172" s="9"/>
      <c r="C172" s="9"/>
    </row>
    <row r="173" ht="15.75" customHeight="1">
      <c r="B173" s="9"/>
      <c r="C173" s="9"/>
    </row>
    <row r="174" ht="15.75" customHeight="1">
      <c r="B174" s="9"/>
      <c r="C174" s="9"/>
    </row>
    <row r="175" ht="15.75" customHeight="1">
      <c r="B175" s="9"/>
      <c r="C175" s="9"/>
    </row>
    <row r="176" ht="15.75" customHeight="1">
      <c r="B176" s="9"/>
      <c r="C176" s="9"/>
    </row>
    <row r="177" ht="15.75" customHeight="1">
      <c r="B177" s="9"/>
      <c r="C177" s="9"/>
    </row>
    <row r="178" ht="15.75" customHeight="1">
      <c r="B178" s="9"/>
      <c r="C178" s="9"/>
    </row>
    <row r="179" ht="15.75" customHeight="1">
      <c r="B179" s="9"/>
      <c r="C179" s="9"/>
    </row>
    <row r="180" ht="15.75" customHeight="1">
      <c r="B180" s="9"/>
      <c r="C180" s="9"/>
    </row>
    <row r="181" ht="15.75" customHeight="1">
      <c r="B181" s="9"/>
      <c r="C181" s="9"/>
    </row>
    <row r="182" ht="15.75" customHeight="1">
      <c r="B182" s="9"/>
      <c r="C182" s="9"/>
    </row>
    <row r="183" ht="15.75" customHeight="1">
      <c r="B183" s="9"/>
      <c r="C183" s="9"/>
    </row>
    <row r="184" ht="15.75" customHeight="1">
      <c r="B184" s="9"/>
      <c r="C184" s="9"/>
    </row>
    <row r="185" ht="15.75" customHeight="1">
      <c r="B185" s="9"/>
      <c r="C185" s="9"/>
    </row>
    <row r="186" ht="15.75" customHeight="1">
      <c r="B186" s="9"/>
      <c r="C186" s="9"/>
    </row>
    <row r="187" ht="15.75" customHeight="1">
      <c r="B187" s="9"/>
      <c r="C187" s="9"/>
    </row>
    <row r="188" ht="15.75" customHeight="1">
      <c r="B188" s="9"/>
      <c r="C188" s="9"/>
    </row>
    <row r="189" ht="15.75" customHeight="1">
      <c r="B189" s="9"/>
      <c r="C189" s="9"/>
    </row>
    <row r="190" ht="15.75" customHeight="1">
      <c r="B190" s="9"/>
      <c r="C190" s="9"/>
    </row>
    <row r="191" ht="15.75" customHeight="1">
      <c r="B191" s="9"/>
      <c r="C191" s="9"/>
    </row>
    <row r="192" ht="15.75" customHeight="1">
      <c r="B192" s="9"/>
      <c r="C192" s="9"/>
    </row>
    <row r="193" ht="15.75" customHeight="1">
      <c r="B193" s="9"/>
      <c r="C193" s="9"/>
    </row>
    <row r="194" ht="15.75" customHeight="1">
      <c r="B194" s="9"/>
      <c r="C194" s="9"/>
    </row>
    <row r="195" ht="15.75" customHeight="1">
      <c r="B195" s="9"/>
      <c r="C195" s="9"/>
    </row>
    <row r="196" ht="15.75" customHeight="1">
      <c r="B196" s="9"/>
      <c r="C196" s="9"/>
    </row>
    <row r="197" ht="15.75" customHeight="1">
      <c r="B197" s="9"/>
      <c r="C197" s="9"/>
    </row>
    <row r="198" ht="15.75" customHeight="1">
      <c r="B198" s="9"/>
      <c r="C198" s="9"/>
    </row>
    <row r="199" ht="15.75" customHeight="1">
      <c r="B199" s="9"/>
      <c r="C199" s="9"/>
    </row>
    <row r="200" ht="15.75" customHeight="1">
      <c r="B200" s="9"/>
      <c r="C200" s="9"/>
    </row>
    <row r="201" ht="15.75" customHeight="1">
      <c r="B201" s="9"/>
      <c r="C201" s="9"/>
    </row>
    <row r="202" ht="15.75" customHeight="1">
      <c r="B202" s="9"/>
      <c r="C202" s="9"/>
    </row>
    <row r="203" ht="15.75" customHeight="1">
      <c r="B203" s="9"/>
      <c r="C203" s="9"/>
    </row>
    <row r="204" ht="15.75" customHeight="1">
      <c r="B204" s="9"/>
      <c r="C204" s="9"/>
    </row>
    <row r="205" ht="15.75" customHeight="1">
      <c r="B205" s="9"/>
      <c r="C205" s="9"/>
    </row>
    <row r="206" ht="15.75" customHeight="1">
      <c r="B206" s="9"/>
      <c r="C206" s="9"/>
    </row>
    <row r="207" ht="15.75" customHeight="1">
      <c r="B207" s="9"/>
      <c r="C207" s="9"/>
    </row>
    <row r="208" ht="15.75" customHeight="1">
      <c r="B208" s="9"/>
      <c r="C208" s="9"/>
    </row>
    <row r="209" ht="15.75" customHeight="1">
      <c r="B209" s="9"/>
      <c r="C209" s="9"/>
    </row>
    <row r="210" ht="15.75" customHeight="1">
      <c r="B210" s="9"/>
      <c r="C210" s="9"/>
    </row>
    <row r="211" ht="15.75" customHeight="1">
      <c r="B211" s="9"/>
      <c r="C211" s="9"/>
    </row>
    <row r="212" ht="15.75" customHeight="1">
      <c r="B212" s="9"/>
      <c r="C212" s="9"/>
    </row>
    <row r="213" ht="15.75" customHeight="1">
      <c r="B213" s="9"/>
      <c r="C213" s="9"/>
    </row>
    <row r="214" ht="15.75" customHeight="1">
      <c r="B214" s="9"/>
      <c r="C214" s="9"/>
    </row>
    <row r="215" ht="15.75" customHeight="1">
      <c r="B215" s="9"/>
      <c r="C215" s="9"/>
    </row>
    <row r="216" ht="15.75" customHeight="1">
      <c r="B216" s="9"/>
      <c r="C216" s="9"/>
    </row>
    <row r="217" ht="15.75" customHeight="1">
      <c r="B217" s="9"/>
      <c r="C217" s="9"/>
    </row>
    <row r="218" ht="15.75" customHeight="1">
      <c r="B218" s="9"/>
      <c r="C218" s="9"/>
    </row>
    <row r="219" ht="15.75" customHeight="1">
      <c r="B219" s="9"/>
      <c r="C219" s="9"/>
    </row>
    <row r="220" ht="15.75" customHeight="1">
      <c r="B220" s="9"/>
      <c r="C220" s="9"/>
    </row>
    <row r="221" ht="15.75" customHeight="1">
      <c r="B221" s="9"/>
      <c r="C221" s="9"/>
    </row>
    <row r="222" ht="15.75" customHeight="1">
      <c r="B222" s="9"/>
      <c r="C222" s="9"/>
    </row>
    <row r="223" ht="15.75" customHeight="1">
      <c r="B223" s="9"/>
      <c r="C223" s="9"/>
    </row>
    <row r="224" ht="15.75" customHeight="1">
      <c r="B224" s="9"/>
      <c r="C224" s="9"/>
    </row>
    <row r="225" ht="15.75" customHeight="1">
      <c r="B225" s="9"/>
      <c r="C225" s="9"/>
    </row>
    <row r="226" ht="15.75" customHeight="1">
      <c r="B226" s="9"/>
      <c r="C226" s="9"/>
    </row>
    <row r="227" ht="15.75" customHeight="1">
      <c r="B227" s="9"/>
      <c r="C227" s="9"/>
    </row>
    <row r="228" ht="15.75" customHeight="1">
      <c r="B228" s="9"/>
      <c r="C228" s="9"/>
    </row>
    <row r="229" ht="15.75" customHeight="1">
      <c r="B229" s="9"/>
      <c r="C229" s="9"/>
    </row>
    <row r="230" ht="15.75" customHeight="1">
      <c r="B230" s="9"/>
      <c r="C230" s="9"/>
    </row>
    <row r="231" ht="15.75" customHeight="1">
      <c r="B231" s="9"/>
      <c r="C231" s="9"/>
    </row>
    <row r="232" ht="15.75" customHeight="1">
      <c r="B232" s="9"/>
      <c r="C232" s="9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3">
      <c r="A3" s="9" t="str">
        <f t="array" ref="A3">UNIQUE(#REF!)</f>
        <v>#REF!</v>
      </c>
      <c r="B3" s="1">
        <v>1001.0</v>
      </c>
    </row>
    <row r="4">
      <c r="A4" s="9"/>
      <c r="B4" s="1">
        <v>1002.0</v>
      </c>
    </row>
    <row r="5">
      <c r="A5" s="9"/>
      <c r="B5" s="1">
        <v>1003.0</v>
      </c>
      <c r="F5" s="9" t="s">
        <v>36</v>
      </c>
    </row>
    <row r="6">
      <c r="A6" s="9"/>
      <c r="B6" s="1">
        <v>1004.0</v>
      </c>
      <c r="F6" s="1" t="s">
        <v>158</v>
      </c>
    </row>
    <row r="7">
      <c r="A7" s="9"/>
      <c r="B7" s="1">
        <v>1005.0</v>
      </c>
      <c r="F7" s="9" t="s">
        <v>79</v>
      </c>
    </row>
    <row r="8">
      <c r="A8" s="9"/>
      <c r="B8" s="1">
        <v>1006.0</v>
      </c>
      <c r="F8" s="1" t="s">
        <v>215</v>
      </c>
    </row>
    <row r="9">
      <c r="A9" s="9"/>
      <c r="B9" s="1">
        <v>1007.0</v>
      </c>
      <c r="F9" s="9" t="s">
        <v>80</v>
      </c>
    </row>
    <row r="10">
      <c r="A10" s="9"/>
      <c r="B10" s="1">
        <v>1008.0</v>
      </c>
      <c r="F10" s="9" t="s">
        <v>175</v>
      </c>
    </row>
    <row r="11">
      <c r="A11" s="9"/>
      <c r="B11" s="1">
        <v>1009.0</v>
      </c>
      <c r="F11" s="9" t="s">
        <v>180</v>
      </c>
    </row>
    <row r="12">
      <c r="A12" s="9"/>
      <c r="B12" s="1">
        <v>1010.0</v>
      </c>
      <c r="F12" s="1" t="s">
        <v>98</v>
      </c>
    </row>
    <row r="13">
      <c r="A13" s="9"/>
      <c r="B13" s="1">
        <v>1011.0</v>
      </c>
      <c r="F13" s="9" t="s">
        <v>68</v>
      </c>
    </row>
    <row r="14">
      <c r="A14" s="9"/>
      <c r="B14" s="1">
        <v>1012.0</v>
      </c>
      <c r="F14" s="9" t="s">
        <v>176</v>
      </c>
    </row>
    <row r="15">
      <c r="A15" s="9"/>
      <c r="B15" s="1">
        <v>1013.0</v>
      </c>
      <c r="F15" s="9" t="s">
        <v>78</v>
      </c>
    </row>
    <row r="16">
      <c r="A16" s="9"/>
      <c r="B16" s="1">
        <v>1014.0</v>
      </c>
      <c r="F16" s="9" t="s">
        <v>227</v>
      </c>
    </row>
    <row r="17">
      <c r="A17" s="9"/>
      <c r="B17" s="1">
        <v>1015.0</v>
      </c>
      <c r="F17" s="9" t="s">
        <v>89</v>
      </c>
    </row>
    <row r="18">
      <c r="A18" s="9"/>
      <c r="B18" s="1">
        <v>1016.0</v>
      </c>
      <c r="F18" s="9" t="s">
        <v>189</v>
      </c>
    </row>
    <row r="19">
      <c r="A19" s="9"/>
      <c r="B19" s="1">
        <v>1017.0</v>
      </c>
      <c r="F19" s="1" t="s">
        <v>236</v>
      </c>
    </row>
    <row r="20">
      <c r="A20" s="9"/>
      <c r="B20" s="1">
        <v>1018.0</v>
      </c>
      <c r="F20" s="9" t="s">
        <v>15</v>
      </c>
    </row>
    <row r="21" ht="15.75" customHeight="1">
      <c r="A21" s="9"/>
      <c r="B21" s="1">
        <v>1019.0</v>
      </c>
      <c r="F21" s="9" t="s">
        <v>48</v>
      </c>
    </row>
    <row r="22" ht="15.75" customHeight="1">
      <c r="A22" s="9"/>
      <c r="B22" s="1">
        <v>1020.0</v>
      </c>
      <c r="F22" s="9" t="s">
        <v>241</v>
      </c>
    </row>
    <row r="23" ht="15.75" customHeight="1">
      <c r="A23" s="9"/>
      <c r="B23" s="1">
        <v>1021.0</v>
      </c>
      <c r="F23" s="1" t="s">
        <v>244</v>
      </c>
    </row>
    <row r="24" ht="15.75" customHeight="1">
      <c r="A24" s="9"/>
      <c r="B24" s="1">
        <v>1022.0</v>
      </c>
      <c r="F24" s="9" t="s">
        <v>249</v>
      </c>
    </row>
    <row r="25" ht="15.75" customHeight="1">
      <c r="A25" s="9"/>
      <c r="B25" s="1">
        <v>1023.0</v>
      </c>
      <c r="F25" s="9" t="s">
        <v>250</v>
      </c>
    </row>
    <row r="26" ht="15.75" customHeight="1">
      <c r="A26" s="9"/>
      <c r="B26" s="1">
        <v>1024.0</v>
      </c>
      <c r="F26" s="9" t="s">
        <v>199</v>
      </c>
    </row>
    <row r="27" ht="15.75" customHeight="1">
      <c r="A27" s="9"/>
      <c r="B27" s="1">
        <v>1025.0</v>
      </c>
      <c r="F27" s="9" t="s">
        <v>200</v>
      </c>
    </row>
    <row r="28" ht="15.75" customHeight="1">
      <c r="A28" s="9"/>
      <c r="B28" s="1">
        <v>1026.0</v>
      </c>
      <c r="F28" s="9" t="s">
        <v>201</v>
      </c>
    </row>
    <row r="29" ht="15.75" customHeight="1">
      <c r="A29" s="9"/>
      <c r="B29" s="1">
        <v>1027.0</v>
      </c>
      <c r="F29" s="1" t="s">
        <v>251</v>
      </c>
    </row>
    <row r="30" ht="15.75" customHeight="1">
      <c r="A30" s="9"/>
      <c r="B30" s="1">
        <v>1028.0</v>
      </c>
      <c r="F30" s="1" t="s">
        <v>126</v>
      </c>
    </row>
    <row r="31" ht="15.75" customHeight="1">
      <c r="A31" s="9"/>
      <c r="B31" s="1">
        <v>1029.0</v>
      </c>
      <c r="F31" s="9" t="s">
        <v>207</v>
      </c>
    </row>
    <row r="32" ht="15.75" customHeight="1">
      <c r="A32" s="9"/>
      <c r="B32" s="1">
        <v>1030.0</v>
      </c>
      <c r="F32" s="9" t="s">
        <v>256</v>
      </c>
    </row>
    <row r="33" ht="15.75" customHeight="1">
      <c r="A33" s="9"/>
      <c r="B33" s="1">
        <v>1031.0</v>
      </c>
      <c r="F33" s="9" t="s">
        <v>116</v>
      </c>
    </row>
    <row r="34" ht="15.75" customHeight="1">
      <c r="A34" s="9"/>
      <c r="B34" s="1">
        <v>1032.0</v>
      </c>
      <c r="F34" s="9" t="s">
        <v>124</v>
      </c>
    </row>
    <row r="35" ht="15.75" customHeight="1">
      <c r="A35" s="9"/>
      <c r="B35" s="1">
        <v>1033.0</v>
      </c>
      <c r="F35" s="9" t="s">
        <v>259</v>
      </c>
    </row>
    <row r="36" ht="15.75" customHeight="1">
      <c r="A36" s="9"/>
      <c r="B36" s="1">
        <v>1034.0</v>
      </c>
      <c r="F36" s="1" t="s">
        <v>260</v>
      </c>
    </row>
    <row r="37" ht="15.75" customHeight="1">
      <c r="A37" s="9"/>
      <c r="B37" s="1">
        <v>1035.0</v>
      </c>
      <c r="F37" s="9" t="s">
        <v>261</v>
      </c>
    </row>
    <row r="38" ht="15.75" customHeight="1">
      <c r="A38" s="9"/>
      <c r="B38" s="1">
        <v>1036.0</v>
      </c>
      <c r="F38" s="1" t="s">
        <v>264</v>
      </c>
    </row>
    <row r="39" ht="15.75" customHeight="1">
      <c r="A39" s="9"/>
      <c r="B39" s="1">
        <v>1037.0</v>
      </c>
      <c r="F39" s="9" t="s">
        <v>267</v>
      </c>
    </row>
    <row r="40" ht="15.75" customHeight="1">
      <c r="A40" s="9"/>
      <c r="B40" s="1">
        <v>1038.0</v>
      </c>
      <c r="F40" s="1" t="s">
        <v>268</v>
      </c>
    </row>
    <row r="41" ht="15.75" customHeight="1">
      <c r="A41" s="9"/>
      <c r="B41" s="1">
        <v>1039.0</v>
      </c>
      <c r="F41" s="9" t="s">
        <v>273</v>
      </c>
    </row>
    <row r="42" ht="15.75" customHeight="1">
      <c r="A42" s="9"/>
      <c r="B42" s="1">
        <v>1040.0</v>
      </c>
      <c r="F42" s="9" t="s">
        <v>94</v>
      </c>
    </row>
    <row r="43" ht="15.75" customHeight="1">
      <c r="A43" s="9"/>
      <c r="B43" s="1">
        <v>1041.0</v>
      </c>
      <c r="F43" s="9" t="s">
        <v>274</v>
      </c>
    </row>
    <row r="44" ht="15.75" customHeight="1">
      <c r="A44" s="9"/>
      <c r="B44" s="1">
        <v>1037.0</v>
      </c>
      <c r="F44" s="9" t="s">
        <v>275</v>
      </c>
    </row>
    <row r="45" ht="15.75" customHeight="1">
      <c r="A45" s="9"/>
      <c r="B45" s="1">
        <v>1038.0</v>
      </c>
      <c r="F45" s="9" t="s">
        <v>276</v>
      </c>
    </row>
    <row r="46" ht="15.75" customHeight="1">
      <c r="A46" s="9"/>
      <c r="B46" s="1">
        <v>1039.0</v>
      </c>
      <c r="F46" s="9" t="s">
        <v>277</v>
      </c>
    </row>
    <row r="47" ht="15.75" customHeight="1">
      <c r="A47" s="9"/>
      <c r="B47" s="1">
        <v>1040.0</v>
      </c>
      <c r="F47" s="9" t="s">
        <v>278</v>
      </c>
    </row>
    <row r="48" ht="15.75" customHeight="1">
      <c r="A48" s="9"/>
      <c r="B48" s="1">
        <v>1041.0</v>
      </c>
      <c r="F48" s="9" t="s">
        <v>279</v>
      </c>
    </row>
    <row r="49" ht="15.75" customHeight="1">
      <c r="A49" s="9"/>
      <c r="B49" s="1">
        <v>1042.0</v>
      </c>
    </row>
    <row r="50" ht="15.75" customHeight="1">
      <c r="A50" s="9"/>
      <c r="B50" s="1">
        <v>1043.0</v>
      </c>
    </row>
    <row r="51" ht="15.75" customHeight="1">
      <c r="A51" s="9"/>
      <c r="B51" s="1">
        <v>1044.0</v>
      </c>
    </row>
    <row r="52" ht="15.75" customHeight="1">
      <c r="A52" s="9"/>
      <c r="B52" s="1">
        <v>1045.0</v>
      </c>
    </row>
    <row r="53" ht="15.75" customHeight="1">
      <c r="A53" s="9"/>
      <c r="B53" s="1">
        <v>1046.0</v>
      </c>
    </row>
    <row r="54" ht="15.75" customHeight="1">
      <c r="A54" s="9"/>
      <c r="B54" s="1">
        <v>1047.0</v>
      </c>
    </row>
    <row r="55" ht="15.75" customHeight="1">
      <c r="A55" s="9"/>
      <c r="B55" s="1">
        <v>1048.0</v>
      </c>
    </row>
    <row r="56" ht="15.75" customHeight="1">
      <c r="A56" s="9"/>
      <c r="B56" s="1">
        <v>1049.0</v>
      </c>
    </row>
    <row r="57" ht="15.75" customHeight="1">
      <c r="A57" s="9"/>
      <c r="B57" s="1">
        <v>1050.0</v>
      </c>
    </row>
    <row r="58" ht="15.75" customHeight="1">
      <c r="A58" s="9"/>
      <c r="B58" s="1">
        <v>1051.0</v>
      </c>
    </row>
    <row r="59" ht="15.75" customHeight="1">
      <c r="A59" s="9"/>
      <c r="B59" s="1">
        <v>1052.0</v>
      </c>
    </row>
    <row r="60" ht="15.75" customHeight="1">
      <c r="A60" s="9"/>
      <c r="B60" s="1">
        <v>1053.0</v>
      </c>
    </row>
    <row r="61" ht="15.75" customHeight="1">
      <c r="A61" s="9"/>
      <c r="B61" s="1">
        <v>1054.0</v>
      </c>
    </row>
    <row r="62" ht="15.75" customHeight="1">
      <c r="A62" s="9"/>
      <c r="B62" s="1">
        <v>1055.0</v>
      </c>
    </row>
    <row r="63" ht="15.75" customHeight="1">
      <c r="A63" s="9"/>
      <c r="B63" s="1">
        <v>1056.0</v>
      </c>
    </row>
    <row r="64" ht="15.75" customHeight="1">
      <c r="A64" s="9"/>
      <c r="B64" s="1">
        <v>1057.0</v>
      </c>
    </row>
    <row r="65" ht="15.75" customHeight="1">
      <c r="A65" s="9"/>
      <c r="B65" s="1">
        <v>1058.0</v>
      </c>
    </row>
    <row r="66" ht="15.75" customHeight="1">
      <c r="A66" s="9"/>
      <c r="B66" s="1">
        <v>1059.0</v>
      </c>
    </row>
    <row r="67" ht="15.75" customHeight="1">
      <c r="A67" s="9"/>
      <c r="B67" s="1">
        <v>1060.0</v>
      </c>
    </row>
    <row r="68" ht="15.75" customHeight="1">
      <c r="A68" s="9"/>
      <c r="B68" s="1">
        <v>1061.0</v>
      </c>
    </row>
    <row r="69" ht="15.75" customHeight="1">
      <c r="A69" s="9"/>
      <c r="B69" s="1">
        <v>1062.0</v>
      </c>
    </row>
    <row r="70" ht="15.75" customHeight="1">
      <c r="A70" s="9"/>
      <c r="B70" s="1">
        <v>1063.0</v>
      </c>
    </row>
    <row r="71" ht="15.75" customHeight="1">
      <c r="A71" s="9"/>
      <c r="B71" s="1">
        <v>1064.0</v>
      </c>
    </row>
    <row r="72" ht="15.75" customHeight="1">
      <c r="A72" s="9"/>
      <c r="B72" s="1">
        <v>1065.0</v>
      </c>
    </row>
    <row r="73" ht="15.75" customHeight="1">
      <c r="A73" s="9"/>
      <c r="B73" s="1">
        <v>1066.0</v>
      </c>
    </row>
    <row r="74" ht="15.75" customHeight="1">
      <c r="A74" s="9"/>
      <c r="B74" s="1">
        <v>1067.0</v>
      </c>
    </row>
    <row r="75" ht="15.75" customHeight="1">
      <c r="A75" s="9"/>
      <c r="B75" s="1">
        <v>1068.0</v>
      </c>
    </row>
    <row r="76" ht="15.75" customHeight="1">
      <c r="A76" s="9"/>
      <c r="B76" s="1">
        <v>1069.0</v>
      </c>
    </row>
    <row r="77" ht="15.75" customHeight="1">
      <c r="A77" s="9"/>
      <c r="B77" s="1">
        <v>1070.0</v>
      </c>
    </row>
    <row r="78" ht="15.75" customHeight="1">
      <c r="A78" s="9"/>
      <c r="B78" s="1">
        <v>1071.0</v>
      </c>
    </row>
    <row r="79" ht="15.75" customHeight="1">
      <c r="A79" s="9"/>
      <c r="B79" s="1">
        <v>1072.0</v>
      </c>
    </row>
    <row r="80" ht="15.75" customHeight="1">
      <c r="A80" s="9"/>
      <c r="B80" s="1">
        <v>1073.0</v>
      </c>
    </row>
    <row r="81" ht="15.75" customHeight="1">
      <c r="A81" s="9"/>
      <c r="B81" s="1">
        <v>1074.0</v>
      </c>
    </row>
    <row r="82" ht="15.75" customHeight="1">
      <c r="A82" s="9"/>
      <c r="B82" s="1">
        <v>1075.0</v>
      </c>
    </row>
    <row r="83" ht="15.75" customHeight="1">
      <c r="A83" s="9"/>
      <c r="B83" s="1">
        <v>1076.0</v>
      </c>
    </row>
    <row r="84" ht="15.75" customHeight="1">
      <c r="A84" s="9"/>
      <c r="B84" s="1">
        <v>1077.0</v>
      </c>
    </row>
    <row r="85" ht="15.75" customHeight="1">
      <c r="A85" s="9"/>
      <c r="B85" s="1">
        <v>1078.0</v>
      </c>
    </row>
    <row r="86" ht="15.75" customHeight="1">
      <c r="A86" s="9"/>
      <c r="B86" s="1">
        <v>1079.0</v>
      </c>
    </row>
    <row r="87" ht="15.75" customHeight="1">
      <c r="A87" s="9"/>
      <c r="B87" s="1">
        <v>1080.0</v>
      </c>
    </row>
    <row r="88" ht="15.75" customHeight="1">
      <c r="A88" s="9"/>
      <c r="B88" s="1">
        <v>1081.0</v>
      </c>
    </row>
    <row r="89" ht="15.75" customHeight="1">
      <c r="A89" s="9"/>
      <c r="B89" s="1">
        <v>1082.0</v>
      </c>
    </row>
    <row r="90" ht="15.75" customHeight="1">
      <c r="A90" s="9"/>
      <c r="B90" s="1">
        <v>1083.0</v>
      </c>
    </row>
    <row r="91" ht="15.75" customHeight="1">
      <c r="A91" s="9"/>
      <c r="B91" s="1">
        <v>1084.0</v>
      </c>
    </row>
    <row r="92" ht="15.75" customHeight="1">
      <c r="A92" s="9"/>
      <c r="B92" s="1">
        <v>1085.0</v>
      </c>
    </row>
    <row r="93" ht="15.75" customHeight="1">
      <c r="A93" s="9"/>
      <c r="B93" s="1">
        <v>1086.0</v>
      </c>
    </row>
    <row r="94" ht="15.75" customHeight="1">
      <c r="A94" s="9"/>
      <c r="B94" s="1">
        <v>1087.0</v>
      </c>
    </row>
    <row r="95" ht="15.75" customHeight="1">
      <c r="A95" s="9"/>
      <c r="B95" s="1">
        <v>1088.0</v>
      </c>
    </row>
    <row r="96" ht="15.75" customHeight="1">
      <c r="A96" s="9"/>
      <c r="B96" s="1">
        <v>1089.0</v>
      </c>
    </row>
    <row r="97" ht="15.75" customHeight="1">
      <c r="A97" s="9"/>
      <c r="B97" s="1">
        <v>1090.0</v>
      </c>
    </row>
    <row r="98" ht="15.75" customHeight="1">
      <c r="A98" s="9"/>
      <c r="B98" s="1">
        <v>1091.0</v>
      </c>
    </row>
    <row r="99" ht="15.75" customHeight="1">
      <c r="A99" s="9"/>
      <c r="B99" s="1">
        <v>1092.0</v>
      </c>
    </row>
    <row r="100" ht="15.75" customHeight="1">
      <c r="A100" s="9"/>
      <c r="B100" s="1">
        <v>1093.0</v>
      </c>
    </row>
    <row r="101" ht="15.75" customHeight="1">
      <c r="A101" s="9"/>
      <c r="B101" s="1">
        <v>1094.0</v>
      </c>
    </row>
    <row r="102" ht="15.75" customHeight="1">
      <c r="A102" s="9"/>
      <c r="B102" s="1">
        <v>1095.0</v>
      </c>
    </row>
    <row r="103" ht="15.75" customHeight="1">
      <c r="A103" s="9"/>
      <c r="B103" s="1">
        <v>1096.0</v>
      </c>
    </row>
    <row r="104" ht="15.75" customHeight="1">
      <c r="A104" s="9"/>
      <c r="B104" s="1">
        <v>1097.0</v>
      </c>
    </row>
    <row r="105" ht="15.75" customHeight="1">
      <c r="A105" s="9"/>
      <c r="B105" s="1">
        <v>1098.0</v>
      </c>
    </row>
    <row r="106" ht="15.75" customHeight="1">
      <c r="A106" s="9"/>
      <c r="B106" s="1">
        <v>1099.0</v>
      </c>
    </row>
    <row r="107" ht="15.75" customHeight="1">
      <c r="A107" s="9"/>
      <c r="B107" s="1">
        <v>1100.0</v>
      </c>
    </row>
    <row r="108" ht="15.75" customHeight="1">
      <c r="A108" s="9"/>
      <c r="B108" s="1">
        <v>1101.0</v>
      </c>
    </row>
    <row r="109" ht="15.75" customHeight="1">
      <c r="A109" s="9"/>
      <c r="B109" s="1">
        <v>1102.0</v>
      </c>
    </row>
    <row r="110" ht="15.75" customHeight="1">
      <c r="A110" s="9"/>
      <c r="B110" s="1">
        <v>1103.0</v>
      </c>
    </row>
    <row r="111" ht="15.75" customHeight="1">
      <c r="A111" s="9"/>
      <c r="B111" s="1">
        <v>1104.0</v>
      </c>
    </row>
    <row r="112" ht="15.75" customHeight="1">
      <c r="A112" s="9"/>
      <c r="B112" s="1">
        <v>1105.0</v>
      </c>
    </row>
    <row r="113" ht="15.75" customHeight="1">
      <c r="A113" s="9"/>
      <c r="B113" s="1">
        <v>1106.0</v>
      </c>
    </row>
    <row r="114" ht="15.75" customHeight="1">
      <c r="A114" s="9"/>
      <c r="B114" s="1">
        <v>1107.0</v>
      </c>
    </row>
    <row r="115" ht="15.75" customHeight="1">
      <c r="A115" s="9"/>
      <c r="B115" s="1">
        <v>1108.0</v>
      </c>
    </row>
    <row r="116" ht="15.75" customHeight="1">
      <c r="A116" s="9"/>
      <c r="B116" s="1">
        <v>1109.0</v>
      </c>
    </row>
    <row r="117" ht="15.75" customHeight="1">
      <c r="A117" s="9"/>
      <c r="B117" s="1">
        <v>1110.0</v>
      </c>
    </row>
    <row r="118" ht="15.75" customHeight="1">
      <c r="A118" s="9"/>
      <c r="B118" s="1">
        <v>1111.0</v>
      </c>
    </row>
    <row r="119" ht="15.75" customHeight="1">
      <c r="A119" s="9"/>
      <c r="B119" s="1">
        <v>1112.0</v>
      </c>
    </row>
    <row r="120" ht="15.75" customHeight="1">
      <c r="A120" s="9"/>
      <c r="B120" s="1">
        <v>1113.0</v>
      </c>
    </row>
    <row r="121" ht="15.75" customHeight="1">
      <c r="A121" s="9"/>
      <c r="B121" s="1">
        <v>1114.0</v>
      </c>
    </row>
    <row r="122" ht="15.75" customHeight="1">
      <c r="A122" s="9"/>
      <c r="B122" s="1">
        <v>1115.0</v>
      </c>
    </row>
    <row r="123" ht="15.75" customHeight="1">
      <c r="A123" s="9"/>
      <c r="B123" s="1">
        <v>1116.0</v>
      </c>
    </row>
    <row r="124" ht="15.75" customHeight="1">
      <c r="A124" s="9"/>
      <c r="B124" s="1">
        <v>1117.0</v>
      </c>
    </row>
    <row r="125" ht="15.75" customHeight="1">
      <c r="A125" s="9"/>
      <c r="B125" s="1">
        <v>1118.0</v>
      </c>
    </row>
    <row r="126" ht="15.75" customHeight="1">
      <c r="A126" s="9"/>
      <c r="B126" s="1">
        <v>1119.0</v>
      </c>
    </row>
    <row r="127" ht="15.75" customHeight="1">
      <c r="A127" s="9"/>
      <c r="B127" s="1">
        <v>1120.0</v>
      </c>
    </row>
    <row r="128" ht="15.75" customHeight="1">
      <c r="A128" s="9"/>
      <c r="B128" s="1">
        <v>1121.0</v>
      </c>
    </row>
    <row r="129" ht="15.75" customHeight="1">
      <c r="A129" s="9"/>
      <c r="B129" s="1">
        <v>1122.0</v>
      </c>
    </row>
    <row r="130" ht="15.75" customHeight="1">
      <c r="A130" s="9"/>
      <c r="B130" s="1">
        <v>1123.0</v>
      </c>
    </row>
    <row r="131" ht="15.75" customHeight="1">
      <c r="A131" s="9"/>
      <c r="B131" s="1">
        <v>1124.0</v>
      </c>
    </row>
    <row r="132" ht="15.75" customHeight="1">
      <c r="A132" s="9"/>
      <c r="B132" s="1">
        <v>1125.0</v>
      </c>
    </row>
    <row r="133" ht="15.75" customHeight="1">
      <c r="A133" s="9"/>
      <c r="B133" s="1">
        <v>1126.0</v>
      </c>
    </row>
    <row r="134" ht="15.75" customHeight="1">
      <c r="A134" s="9"/>
      <c r="B134" s="1">
        <v>1127.0</v>
      </c>
    </row>
    <row r="135" ht="15.75" customHeight="1">
      <c r="A135" s="9"/>
      <c r="B135" s="1">
        <v>1128.0</v>
      </c>
    </row>
    <row r="136" ht="15.75" customHeight="1">
      <c r="A136" s="9"/>
      <c r="B136" s="1">
        <v>1129.0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4"/>
      <c r="B1" s="14"/>
      <c r="C1" s="14"/>
      <c r="D1" s="14"/>
      <c r="E1" s="14"/>
      <c r="F1" s="14"/>
      <c r="G1" s="14"/>
      <c r="H1" s="14"/>
    </row>
    <row r="2">
      <c r="M2" s="9"/>
    </row>
    <row r="3">
      <c r="A3" s="15" t="s">
        <v>334</v>
      </c>
      <c r="C3" s="1" t="s">
        <v>335</v>
      </c>
      <c r="E3" s="15" t="s">
        <v>336</v>
      </c>
      <c r="G3" s="16"/>
      <c r="M3" s="9"/>
    </row>
    <row r="4">
      <c r="A4" s="15">
        <f>SUM('SALES REPORT of 3 months'!F2:F1000)</f>
        <v>329</v>
      </c>
      <c r="C4" s="1">
        <f t="array" ref="C4">COUNTA(UNIQUE('SALES REPORT of 3 months'!B2:B1000))</f>
        <v>144</v>
      </c>
      <c r="E4" s="15">
        <v>237.0</v>
      </c>
      <c r="G4" s="17"/>
      <c r="L4" s="9"/>
      <c r="M4" s="9"/>
    </row>
    <row r="5">
      <c r="L5" s="9"/>
      <c r="M5" s="9"/>
    </row>
    <row r="6">
      <c r="A6" s="15"/>
    </row>
    <row r="7">
      <c r="A7" s="15"/>
      <c r="C7" s="14"/>
      <c r="D7" s="14"/>
      <c r="E7" s="14"/>
      <c r="F7" s="14"/>
      <c r="G7" s="14"/>
      <c r="H7" s="14"/>
      <c r="I7" s="14"/>
      <c r="J7" s="14"/>
      <c r="K7" s="14"/>
    </row>
    <row r="8">
      <c r="C8" s="14" t="s">
        <v>337</v>
      </c>
    </row>
    <row r="11">
      <c r="I11" s="18" t="s">
        <v>338</v>
      </c>
      <c r="J11" s="19"/>
      <c r="K11" s="1"/>
    </row>
    <row r="12">
      <c r="I12" s="20"/>
      <c r="J12" s="19"/>
    </row>
    <row r="13">
      <c r="I13" s="21" t="str">
        <f t="array" ref="I13">INDEX('ED ANALYSIS'!J3:J19,MATCH(MAX('ED ANALYSIS'!L3:L19),'ED ANALYSIS'!L3:L19,0))</f>
        <v>Lagos</v>
      </c>
      <c r="J13" s="19"/>
    </row>
    <row r="14">
      <c r="I14" s="20"/>
      <c r="J14" s="19"/>
    </row>
    <row r="21" ht="1.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13:J13"/>
    <mergeCell ref="I14:J14"/>
    <mergeCell ref="A8:B21"/>
    <mergeCell ref="C8:K8"/>
    <mergeCell ref="L8:M10"/>
    <mergeCell ref="C9:K10"/>
    <mergeCell ref="I11:J11"/>
    <mergeCell ref="K11:M21"/>
    <mergeCell ref="I12:J1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6" width="16.38"/>
    <col customWidth="1" min="7" max="7" width="13.75"/>
    <col customWidth="1" min="11" max="11" width="16.63"/>
  </cols>
  <sheetData>
    <row r="1">
      <c r="G1" s="9"/>
      <c r="H1" s="9"/>
      <c r="I1" s="9"/>
    </row>
    <row r="2">
      <c r="A2" s="1" t="s">
        <v>339</v>
      </c>
      <c r="G2" s="9"/>
      <c r="H2" s="9"/>
      <c r="I2" s="9"/>
      <c r="J2" s="22" t="s">
        <v>340</v>
      </c>
      <c r="K2" s="23"/>
      <c r="L2" s="24"/>
      <c r="M2" s="1"/>
      <c r="N2" s="25" t="s">
        <v>341</v>
      </c>
      <c r="O2" s="19"/>
      <c r="Q2" s="1"/>
    </row>
    <row r="3">
      <c r="A3" s="1"/>
      <c r="G3" s="9"/>
      <c r="H3" s="9"/>
      <c r="I3" s="9"/>
      <c r="J3" s="24" t="s">
        <v>342</v>
      </c>
      <c r="K3" s="24" t="s">
        <v>343</v>
      </c>
      <c r="L3" s="24" t="s">
        <v>344</v>
      </c>
      <c r="M3" s="1"/>
      <c r="N3" s="15"/>
      <c r="O3" s="15"/>
      <c r="Q3" s="1"/>
    </row>
    <row r="4">
      <c r="G4" s="9"/>
      <c r="H4" s="26"/>
      <c r="I4" s="9"/>
      <c r="J4" s="24" t="str">
        <f t="array" ref="J4:J19">UNIQUE(Table1[State])</f>
        <v>Benin</v>
      </c>
      <c r="K4" s="24">
        <v>7.0</v>
      </c>
      <c r="L4" s="27">
        <v>0.023333333333333334</v>
      </c>
      <c r="M4" s="26"/>
      <c r="N4" s="28" t="s">
        <v>36</v>
      </c>
      <c r="O4" s="15">
        <v>37.0</v>
      </c>
    </row>
    <row r="5">
      <c r="A5" s="1" t="s">
        <v>345</v>
      </c>
      <c r="G5" s="9"/>
      <c r="H5" s="26"/>
      <c r="I5" s="9"/>
      <c r="J5" s="24" t="s">
        <v>216</v>
      </c>
      <c r="K5" s="24">
        <v>72.0</v>
      </c>
      <c r="L5" s="27">
        <v>0.24</v>
      </c>
      <c r="M5" s="26"/>
      <c r="N5" s="15" t="s">
        <v>158</v>
      </c>
      <c r="O5" s="15">
        <v>36.0</v>
      </c>
    </row>
    <row r="6">
      <c r="A6" s="1" t="s">
        <v>346</v>
      </c>
      <c r="G6" s="9"/>
      <c r="H6" s="26"/>
      <c r="I6" s="9"/>
      <c r="J6" s="24" t="s">
        <v>58</v>
      </c>
      <c r="K6" s="24">
        <v>16.0</v>
      </c>
      <c r="L6" s="27">
        <v>0.05333333333333334</v>
      </c>
      <c r="M6" s="26"/>
      <c r="N6" s="28" t="s">
        <v>79</v>
      </c>
      <c r="O6" s="15">
        <v>21.0</v>
      </c>
    </row>
    <row r="7">
      <c r="A7" s="1" t="s">
        <v>347</v>
      </c>
      <c r="G7" s="9"/>
      <c r="H7" s="26"/>
      <c r="I7" s="9"/>
      <c r="J7" s="24" t="s">
        <v>218</v>
      </c>
      <c r="K7" s="24">
        <v>1.0</v>
      </c>
      <c r="L7" s="27">
        <v>0.0033333333333333335</v>
      </c>
      <c r="M7" s="26"/>
      <c r="N7" s="15" t="s">
        <v>215</v>
      </c>
      <c r="O7" s="15">
        <v>19.0</v>
      </c>
    </row>
    <row r="8">
      <c r="A8" s="1" t="s">
        <v>348</v>
      </c>
      <c r="G8" s="9"/>
      <c r="H8" s="26"/>
      <c r="I8" s="9"/>
      <c r="J8" s="24" t="s">
        <v>59</v>
      </c>
      <c r="K8" s="24">
        <v>81.0</v>
      </c>
      <c r="L8" s="27">
        <v>0.27</v>
      </c>
      <c r="M8" s="26"/>
      <c r="N8" s="28" t="s">
        <v>80</v>
      </c>
      <c r="O8" s="15">
        <v>17.0</v>
      </c>
    </row>
    <row r="9">
      <c r="A9" s="1" t="s">
        <v>349</v>
      </c>
      <c r="G9" s="9"/>
      <c r="H9" s="26"/>
      <c r="I9" s="9"/>
      <c r="J9" s="24" t="s">
        <v>221</v>
      </c>
      <c r="K9" s="24">
        <v>16.0</v>
      </c>
      <c r="L9" s="27">
        <v>0.05333333333333334</v>
      </c>
      <c r="M9" s="26"/>
      <c r="N9" s="28" t="s">
        <v>175</v>
      </c>
      <c r="O9" s="15">
        <v>15.0</v>
      </c>
    </row>
    <row r="10">
      <c r="A10" s="1"/>
      <c r="G10" s="9"/>
      <c r="H10" s="26"/>
      <c r="I10" s="9"/>
      <c r="J10" s="24" t="s">
        <v>222</v>
      </c>
      <c r="K10" s="24">
        <v>49.0</v>
      </c>
      <c r="L10" s="27">
        <v>0.16333333333333333</v>
      </c>
      <c r="M10" s="26"/>
      <c r="N10" s="15" t="s">
        <v>98</v>
      </c>
      <c r="O10" s="15">
        <v>13.0</v>
      </c>
    </row>
    <row r="11">
      <c r="G11" s="9"/>
      <c r="H11" s="26"/>
      <c r="I11" s="9"/>
      <c r="J11" s="24" t="s">
        <v>19</v>
      </c>
      <c r="K11" s="24">
        <v>3.0</v>
      </c>
      <c r="L11" s="27">
        <v>0.01</v>
      </c>
      <c r="M11" s="26"/>
      <c r="N11" s="28" t="s">
        <v>68</v>
      </c>
      <c r="O11" s="15">
        <v>13.0</v>
      </c>
    </row>
    <row r="12">
      <c r="G12" s="9"/>
      <c r="H12" s="26"/>
      <c r="I12" s="9"/>
      <c r="J12" s="24" t="s">
        <v>231</v>
      </c>
      <c r="K12" s="24">
        <v>6.0</v>
      </c>
      <c r="L12" s="27">
        <v>0.02</v>
      </c>
      <c r="M12" s="26"/>
      <c r="N12" s="28" t="s">
        <v>176</v>
      </c>
      <c r="O12" s="15">
        <v>11.0</v>
      </c>
    </row>
    <row r="13">
      <c r="G13" s="9"/>
      <c r="H13" s="26"/>
      <c r="I13" s="9"/>
      <c r="J13" s="24" t="s">
        <v>233</v>
      </c>
      <c r="K13" s="24">
        <v>2.0</v>
      </c>
      <c r="L13" s="27">
        <v>0.006666666666666667</v>
      </c>
      <c r="M13" s="26"/>
      <c r="N13" s="28" t="s">
        <v>78</v>
      </c>
      <c r="O13" s="15">
        <v>10.0</v>
      </c>
    </row>
    <row r="14">
      <c r="A14" s="1"/>
      <c r="D14" s="9"/>
      <c r="G14" s="1"/>
      <c r="H14" s="26"/>
      <c r="I14" s="9"/>
      <c r="J14" s="24" t="s">
        <v>235</v>
      </c>
      <c r="K14" s="24">
        <v>1.0</v>
      </c>
      <c r="L14" s="27">
        <v>0.0033333333333333335</v>
      </c>
      <c r="M14" s="26"/>
      <c r="N14" s="28" t="s">
        <v>227</v>
      </c>
      <c r="O14" s="15">
        <v>6.0</v>
      </c>
    </row>
    <row r="15">
      <c r="A15" s="9"/>
      <c r="G15" s="9"/>
      <c r="H15" s="26"/>
      <c r="I15" s="9"/>
      <c r="J15" s="24" t="s">
        <v>239</v>
      </c>
      <c r="K15" s="24">
        <v>5.0</v>
      </c>
      <c r="L15" s="27">
        <v>0.016666666666666666</v>
      </c>
      <c r="M15" s="26"/>
      <c r="N15" s="28" t="s">
        <v>89</v>
      </c>
      <c r="O15" s="15">
        <v>5.0</v>
      </c>
    </row>
    <row r="16">
      <c r="A16" s="1"/>
      <c r="E16" s="9"/>
      <c r="F16" s="9"/>
      <c r="G16" s="9"/>
      <c r="H16" s="26"/>
      <c r="I16" s="9"/>
      <c r="J16" s="24" t="s">
        <v>38</v>
      </c>
      <c r="K16" s="24">
        <v>33.0</v>
      </c>
      <c r="L16" s="27">
        <v>0.11</v>
      </c>
      <c r="M16" s="26"/>
      <c r="N16" s="28" t="s">
        <v>189</v>
      </c>
      <c r="O16" s="15">
        <v>4.0</v>
      </c>
    </row>
    <row r="17">
      <c r="A17" s="9"/>
      <c r="E17" s="9"/>
      <c r="F17" s="9"/>
      <c r="G17" s="9"/>
      <c r="H17" s="26"/>
      <c r="I17" s="9"/>
      <c r="J17" s="24" t="s">
        <v>246</v>
      </c>
      <c r="K17" s="24">
        <v>4.0</v>
      </c>
      <c r="L17" s="27">
        <v>0.013333333333333334</v>
      </c>
      <c r="M17" s="26"/>
      <c r="N17" s="15" t="s">
        <v>236</v>
      </c>
      <c r="O17" s="15">
        <v>4.0</v>
      </c>
    </row>
    <row r="18">
      <c r="A18" s="1"/>
      <c r="E18" s="9"/>
      <c r="F18" s="9"/>
      <c r="G18" s="9"/>
      <c r="H18" s="26"/>
      <c r="I18" s="9"/>
      <c r="J18" s="24" t="s">
        <v>248</v>
      </c>
      <c r="K18" s="24">
        <v>4.0</v>
      </c>
      <c r="L18" s="27">
        <v>0.013333333333333334</v>
      </c>
      <c r="M18" s="26"/>
      <c r="N18" s="28" t="s">
        <v>15</v>
      </c>
      <c r="O18" s="15">
        <v>3.0</v>
      </c>
    </row>
    <row r="19">
      <c r="A19" s="9"/>
      <c r="E19" s="9"/>
      <c r="F19" s="9"/>
      <c r="G19" s="9"/>
      <c r="H19" s="26"/>
      <c r="I19" s="9"/>
      <c r="J19" s="24" t="s">
        <v>252</v>
      </c>
      <c r="K19" s="24">
        <v>10.0</v>
      </c>
      <c r="L19" s="27">
        <v>0.03333333333333333</v>
      </c>
      <c r="M19" s="26"/>
      <c r="N19" s="28" t="s">
        <v>48</v>
      </c>
      <c r="O19" s="15">
        <v>3.0</v>
      </c>
    </row>
    <row r="20">
      <c r="A20" s="9"/>
      <c r="E20" s="9"/>
      <c r="F20" s="9"/>
      <c r="G20" s="9"/>
      <c r="H20" s="9"/>
      <c r="I20" s="9"/>
      <c r="N20" s="28" t="s">
        <v>241</v>
      </c>
      <c r="O20" s="15">
        <v>3.0</v>
      </c>
    </row>
    <row r="21" ht="15.75" customHeight="1">
      <c r="A21" s="9"/>
      <c r="E21" s="9"/>
      <c r="F21" s="9"/>
      <c r="G21" s="9"/>
      <c r="H21" s="9"/>
      <c r="I21" s="9"/>
      <c r="N21" s="15" t="s">
        <v>244</v>
      </c>
      <c r="O21" s="15">
        <v>2.0</v>
      </c>
    </row>
    <row r="22" ht="15.75" customHeight="1">
      <c r="A22" s="1"/>
      <c r="E22" s="9"/>
      <c r="F22" s="9"/>
      <c r="G22" s="9"/>
      <c r="H22" s="9"/>
      <c r="I22" s="9"/>
      <c r="J22" s="24" t="s">
        <v>350</v>
      </c>
      <c r="K22" s="29" t="s">
        <v>351</v>
      </c>
      <c r="N22" s="28" t="s">
        <v>249</v>
      </c>
      <c r="O22" s="15">
        <v>2.0</v>
      </c>
    </row>
    <row r="23" ht="15.75" customHeight="1">
      <c r="A23" s="9"/>
      <c r="E23" s="9"/>
      <c r="F23" s="9"/>
      <c r="G23" s="9" t="s">
        <v>352</v>
      </c>
      <c r="H23" s="9"/>
      <c r="I23" s="9"/>
      <c r="J23" s="24">
        <v>1103.0</v>
      </c>
      <c r="K23" s="29">
        <v>10.0</v>
      </c>
      <c r="N23" s="28" t="s">
        <v>250</v>
      </c>
      <c r="O23" s="15">
        <v>2.0</v>
      </c>
    </row>
    <row r="24" ht="15.75" customHeight="1">
      <c r="A24" s="9"/>
      <c r="D24" s="1"/>
      <c r="E24" s="9"/>
      <c r="F24" s="9"/>
      <c r="G24" s="29" t="s">
        <v>350</v>
      </c>
      <c r="H24" s="29" t="s">
        <v>351</v>
      </c>
      <c r="I24" s="9"/>
      <c r="J24" s="24">
        <v>1016.0</v>
      </c>
      <c r="K24" s="29">
        <v>8.0</v>
      </c>
      <c r="N24" s="28" t="s">
        <v>199</v>
      </c>
      <c r="O24" s="15">
        <v>2.0</v>
      </c>
    </row>
    <row r="25" ht="15.75" customHeight="1">
      <c r="A25" s="9"/>
      <c r="D25" s="1"/>
      <c r="E25" s="9"/>
      <c r="F25" s="9"/>
      <c r="G25" s="29">
        <v>1103.0</v>
      </c>
      <c r="H25" s="29">
        <v>10.0</v>
      </c>
      <c r="I25" s="9"/>
      <c r="J25" s="24">
        <v>1128.0</v>
      </c>
      <c r="K25" s="29">
        <v>8.0</v>
      </c>
      <c r="N25" s="28" t="s">
        <v>200</v>
      </c>
      <c r="O25" s="15">
        <v>1.0</v>
      </c>
    </row>
    <row r="26" ht="15.75" customHeight="1">
      <c r="A26" s="9"/>
      <c r="D26" s="9"/>
      <c r="E26" s="9"/>
      <c r="F26" s="9"/>
      <c r="G26" s="29">
        <v>1016.0</v>
      </c>
      <c r="H26" s="29">
        <v>8.0</v>
      </c>
      <c r="I26" s="9"/>
      <c r="J26" s="24">
        <v>1112.0</v>
      </c>
      <c r="K26" s="29">
        <v>7.0</v>
      </c>
      <c r="N26" s="28" t="s">
        <v>201</v>
      </c>
      <c r="O26" s="15">
        <v>1.0</v>
      </c>
    </row>
    <row r="27" ht="15.75" customHeight="1">
      <c r="A27" s="9"/>
      <c r="D27" s="9"/>
      <c r="E27" s="9"/>
      <c r="F27" s="9"/>
      <c r="G27" s="29">
        <v>1128.0</v>
      </c>
      <c r="H27" s="29">
        <v>8.0</v>
      </c>
      <c r="I27" s="9"/>
      <c r="J27" s="24">
        <v>1007.0</v>
      </c>
      <c r="K27" s="29">
        <v>6.0</v>
      </c>
      <c r="N27" s="15" t="s">
        <v>251</v>
      </c>
      <c r="O27" s="15">
        <v>1.0</v>
      </c>
    </row>
    <row r="28" ht="15.75" customHeight="1">
      <c r="A28" s="9"/>
      <c r="E28" s="9"/>
      <c r="F28" s="9"/>
      <c r="G28" s="29">
        <v>1112.0</v>
      </c>
      <c r="H28" s="29">
        <v>7.0</v>
      </c>
      <c r="I28" s="9"/>
      <c r="J28" s="24">
        <v>1020.0</v>
      </c>
      <c r="K28" s="29">
        <v>6.0</v>
      </c>
      <c r="N28" s="15" t="s">
        <v>126</v>
      </c>
      <c r="O28" s="15">
        <v>1.0</v>
      </c>
    </row>
    <row r="29" ht="15.75" customHeight="1">
      <c r="A29" s="1"/>
      <c r="D29" s="9"/>
      <c r="E29" s="9"/>
      <c r="F29" s="9"/>
      <c r="G29" s="29">
        <v>1007.0</v>
      </c>
      <c r="H29" s="29">
        <v>6.0</v>
      </c>
      <c r="I29" s="9"/>
      <c r="J29" s="24">
        <v>1027.0</v>
      </c>
      <c r="K29" s="29">
        <v>6.0</v>
      </c>
      <c r="N29" s="28" t="s">
        <v>207</v>
      </c>
      <c r="O29" s="15">
        <v>1.0</v>
      </c>
    </row>
    <row r="30" ht="15.75" customHeight="1">
      <c r="A30" s="9"/>
      <c r="D30" s="9"/>
      <c r="E30" s="9"/>
      <c r="F30" s="9"/>
      <c r="G30" s="29">
        <v>1020.0</v>
      </c>
      <c r="H30" s="29">
        <v>6.0</v>
      </c>
      <c r="I30" s="9"/>
      <c r="J30" s="24">
        <v>1032.0</v>
      </c>
      <c r="K30" s="29">
        <v>6.0</v>
      </c>
      <c r="N30" s="28" t="s">
        <v>256</v>
      </c>
      <c r="O30" s="15">
        <v>1.0</v>
      </c>
    </row>
    <row r="31" ht="15.75" customHeight="1">
      <c r="A31" s="9"/>
      <c r="D31" s="9"/>
      <c r="E31" s="9"/>
      <c r="F31" s="9"/>
      <c r="G31" s="29">
        <v>1027.0</v>
      </c>
      <c r="H31" s="29">
        <v>6.0</v>
      </c>
      <c r="I31" s="9"/>
      <c r="J31" s="24">
        <v>1054.0</v>
      </c>
      <c r="K31" s="29">
        <v>5.0</v>
      </c>
      <c r="N31" s="28" t="s">
        <v>116</v>
      </c>
      <c r="O31" s="15">
        <v>1.0</v>
      </c>
    </row>
    <row r="32" ht="15.75" customHeight="1">
      <c r="A32" s="9"/>
      <c r="E32" s="9"/>
      <c r="F32" s="9"/>
      <c r="G32" s="29">
        <v>1032.0</v>
      </c>
      <c r="H32" s="29">
        <v>6.0</v>
      </c>
      <c r="I32" s="9"/>
      <c r="J32" s="24">
        <v>1057.0</v>
      </c>
      <c r="K32" s="29">
        <v>5.0</v>
      </c>
      <c r="N32" s="28" t="s">
        <v>124</v>
      </c>
      <c r="O32" s="15">
        <v>1.0</v>
      </c>
    </row>
    <row r="33" ht="15.75" customHeight="1">
      <c r="A33" s="1"/>
      <c r="D33" s="9"/>
      <c r="E33" s="9"/>
      <c r="F33" s="9"/>
      <c r="G33" s="29">
        <v>1054.0</v>
      </c>
      <c r="H33" s="29">
        <v>5.0</v>
      </c>
      <c r="I33" s="9"/>
      <c r="J33" s="24">
        <v>1061.0</v>
      </c>
      <c r="K33" s="29">
        <v>5.0</v>
      </c>
      <c r="N33" s="28" t="s">
        <v>259</v>
      </c>
      <c r="O33" s="15">
        <v>1.0</v>
      </c>
    </row>
    <row r="34" ht="15.75" customHeight="1">
      <c r="A34" s="9"/>
      <c r="D34" s="9"/>
      <c r="E34" s="9"/>
      <c r="F34" s="9"/>
      <c r="G34" s="29">
        <v>1057.0</v>
      </c>
      <c r="H34" s="29">
        <v>5.0</v>
      </c>
      <c r="I34" s="9"/>
      <c r="J34" s="24">
        <v>1082.0</v>
      </c>
      <c r="K34" s="29">
        <v>5.0</v>
      </c>
      <c r="N34" s="15" t="s">
        <v>260</v>
      </c>
      <c r="O34" s="15">
        <v>1.0</v>
      </c>
    </row>
    <row r="35" ht="15.75" customHeight="1">
      <c r="A35" s="9"/>
      <c r="D35" s="9"/>
      <c r="E35" s="9"/>
      <c r="F35" s="9"/>
      <c r="G35" s="9"/>
      <c r="H35" s="9"/>
      <c r="I35" s="9"/>
      <c r="J35" s="24">
        <v>1105.0</v>
      </c>
      <c r="K35" s="29">
        <v>5.0</v>
      </c>
      <c r="N35" s="28" t="s">
        <v>261</v>
      </c>
      <c r="O35" s="15">
        <v>1.0</v>
      </c>
    </row>
    <row r="36" ht="15.75" customHeight="1">
      <c r="A36" s="9"/>
      <c r="D36" s="9"/>
      <c r="E36" s="9"/>
      <c r="F36" s="9"/>
      <c r="G36" s="9"/>
      <c r="H36" s="9"/>
      <c r="I36" s="9"/>
      <c r="J36" s="24">
        <v>1130.0</v>
      </c>
      <c r="K36" s="29">
        <v>5.0</v>
      </c>
      <c r="N36" s="15" t="s">
        <v>264</v>
      </c>
      <c r="O36" s="15">
        <v>1.0</v>
      </c>
    </row>
    <row r="37" ht="15.75" customHeight="1">
      <c r="A37" s="9"/>
      <c r="D37" s="9"/>
      <c r="E37" s="9"/>
      <c r="F37" s="9"/>
      <c r="G37" s="9"/>
      <c r="H37" s="9"/>
      <c r="I37" s="9"/>
      <c r="J37" s="24">
        <v>1001.0</v>
      </c>
      <c r="K37" s="29">
        <v>4.0</v>
      </c>
      <c r="N37" s="28" t="s">
        <v>267</v>
      </c>
      <c r="O37" s="15">
        <v>1.0</v>
      </c>
    </row>
    <row r="38" ht="15.75" customHeight="1">
      <c r="A38" s="9"/>
      <c r="E38" s="9"/>
      <c r="F38" s="9"/>
      <c r="G38" s="9"/>
      <c r="H38" s="9"/>
      <c r="I38" s="9"/>
      <c r="J38" s="24">
        <v>1028.0</v>
      </c>
      <c r="K38" s="29">
        <v>4.0</v>
      </c>
      <c r="N38" s="15" t="s">
        <v>268</v>
      </c>
      <c r="O38" s="15">
        <v>1.0</v>
      </c>
    </row>
    <row r="39" ht="15.75" customHeight="1">
      <c r="A39" s="1"/>
      <c r="E39" s="9"/>
      <c r="F39" s="9"/>
      <c r="G39" s="9"/>
      <c r="H39" s="9"/>
      <c r="I39" s="9"/>
      <c r="J39" s="24">
        <v>1030.0</v>
      </c>
      <c r="K39" s="29">
        <v>4.0</v>
      </c>
      <c r="N39" s="28" t="s">
        <v>273</v>
      </c>
      <c r="O39" s="15">
        <v>1.0</v>
      </c>
    </row>
    <row r="40" ht="15.75" customHeight="1">
      <c r="A40" s="1"/>
      <c r="D40" s="9"/>
      <c r="E40" s="9"/>
      <c r="F40" s="9"/>
      <c r="G40" s="9"/>
      <c r="H40" s="9"/>
      <c r="I40" s="9"/>
      <c r="J40" s="24">
        <v>1034.0</v>
      </c>
      <c r="K40" s="29">
        <v>4.0</v>
      </c>
      <c r="N40" s="28" t="s">
        <v>94</v>
      </c>
      <c r="O40" s="15">
        <v>1.0</v>
      </c>
    </row>
    <row r="41" ht="15.75" customHeight="1">
      <c r="A41" s="9"/>
      <c r="D41" s="9"/>
      <c r="E41" s="9"/>
      <c r="F41" s="9"/>
      <c r="G41" s="9"/>
      <c r="H41" s="9"/>
      <c r="I41" s="9"/>
      <c r="J41" s="24">
        <v>1044.0</v>
      </c>
      <c r="K41" s="29">
        <v>4.0</v>
      </c>
      <c r="N41" s="28" t="s">
        <v>274</v>
      </c>
      <c r="O41" s="15">
        <v>1.0</v>
      </c>
    </row>
    <row r="42" ht="15.75" customHeight="1">
      <c r="A42" s="9"/>
      <c r="D42" s="9"/>
      <c r="E42" s="9"/>
      <c r="F42" s="9"/>
      <c r="G42" s="9"/>
      <c r="H42" s="9"/>
      <c r="I42" s="9"/>
      <c r="J42" s="24">
        <v>1058.0</v>
      </c>
      <c r="K42" s="29">
        <v>4.0</v>
      </c>
      <c r="N42" s="28" t="s">
        <v>275</v>
      </c>
      <c r="O42" s="15">
        <v>1.0</v>
      </c>
    </row>
    <row r="43" ht="15.75" customHeight="1">
      <c r="A43" s="9"/>
      <c r="D43" s="9"/>
      <c r="E43" s="9"/>
      <c r="F43" s="9"/>
      <c r="G43" s="9"/>
      <c r="H43" s="9"/>
      <c r="I43" s="9"/>
      <c r="J43" s="24">
        <v>1064.0</v>
      </c>
      <c r="K43" s="29">
        <v>4.0</v>
      </c>
      <c r="N43" s="28" t="s">
        <v>276</v>
      </c>
      <c r="O43" s="15">
        <v>1.0</v>
      </c>
    </row>
    <row r="44" ht="15.75" customHeight="1">
      <c r="A44" s="9"/>
      <c r="D44" s="9"/>
      <c r="E44" s="9"/>
      <c r="F44" s="9"/>
      <c r="G44" s="9"/>
      <c r="H44" s="9"/>
      <c r="I44" s="9"/>
      <c r="J44" s="24">
        <v>1066.0</v>
      </c>
      <c r="K44" s="29">
        <v>4.0</v>
      </c>
      <c r="N44" s="28" t="s">
        <v>277</v>
      </c>
      <c r="O44" s="15">
        <v>1.0</v>
      </c>
    </row>
    <row r="45" ht="15.75" customHeight="1">
      <c r="A45" s="9"/>
      <c r="E45" s="9"/>
      <c r="F45" s="9"/>
      <c r="G45" s="9"/>
      <c r="H45" s="9"/>
      <c r="I45" s="9"/>
      <c r="J45" s="24">
        <v>1078.0</v>
      </c>
      <c r="K45" s="29">
        <v>4.0</v>
      </c>
      <c r="N45" s="28" t="s">
        <v>278</v>
      </c>
      <c r="O45" s="15">
        <v>1.0</v>
      </c>
    </row>
    <row r="46" ht="15.75" customHeight="1">
      <c r="A46" s="1"/>
      <c r="D46" s="9"/>
      <c r="E46" s="9"/>
      <c r="F46" s="9"/>
      <c r="G46" s="9"/>
      <c r="H46" s="9"/>
      <c r="I46" s="9"/>
      <c r="J46" s="24">
        <v>1081.0</v>
      </c>
      <c r="K46" s="29">
        <v>4.0</v>
      </c>
      <c r="N46" s="28" t="s">
        <v>279</v>
      </c>
      <c r="O46" s="15">
        <v>1.0</v>
      </c>
    </row>
    <row r="47" ht="15.75" customHeight="1">
      <c r="A47" s="9"/>
      <c r="E47" s="9"/>
      <c r="F47" s="9"/>
      <c r="G47" s="9"/>
      <c r="H47" s="9"/>
      <c r="I47" s="9"/>
      <c r="J47" s="24">
        <v>1087.0</v>
      </c>
      <c r="K47" s="29">
        <v>4.0</v>
      </c>
    </row>
    <row r="48" ht="15.75" customHeight="1">
      <c r="A48" s="1"/>
      <c r="D48" s="9"/>
      <c r="E48" s="9"/>
      <c r="F48" s="9"/>
      <c r="G48" s="9"/>
      <c r="H48" s="9"/>
      <c r="I48" s="9"/>
      <c r="J48" s="24">
        <v>1092.0</v>
      </c>
      <c r="K48" s="29">
        <v>4.0</v>
      </c>
    </row>
    <row r="49" ht="15.75" customHeight="1">
      <c r="A49" s="9"/>
      <c r="E49" s="9"/>
      <c r="F49" s="9"/>
      <c r="G49" s="9"/>
      <c r="H49" s="9"/>
      <c r="I49" s="9"/>
      <c r="J49" s="24">
        <v>1129.0</v>
      </c>
      <c r="K49" s="29">
        <v>4.0</v>
      </c>
    </row>
    <row r="50" ht="15.75" customHeight="1">
      <c r="A50" s="1"/>
      <c r="D50" s="9"/>
      <c r="E50" s="9"/>
      <c r="F50" s="9"/>
      <c r="G50" s="9"/>
      <c r="H50" s="9"/>
      <c r="I50" s="9"/>
      <c r="J50" s="24">
        <v>1005.0</v>
      </c>
      <c r="K50" s="29">
        <v>3.0</v>
      </c>
    </row>
    <row r="51" ht="15.75" customHeight="1">
      <c r="A51" s="9"/>
      <c r="D51" s="9"/>
      <c r="E51" s="9"/>
      <c r="F51" s="9"/>
      <c r="G51" s="9"/>
      <c r="H51" s="9"/>
      <c r="I51" s="9"/>
      <c r="J51" s="24">
        <v>1014.0</v>
      </c>
      <c r="K51" s="29">
        <v>3.0</v>
      </c>
    </row>
    <row r="52" ht="15.75" customHeight="1">
      <c r="A52" s="9"/>
      <c r="D52" s="9"/>
      <c r="E52" s="9"/>
      <c r="F52" s="9"/>
      <c r="G52" s="9"/>
      <c r="H52" s="9"/>
      <c r="I52" s="9"/>
      <c r="J52" s="24">
        <v>1015.0</v>
      </c>
      <c r="K52" s="29">
        <v>3.0</v>
      </c>
    </row>
    <row r="53" ht="15.75" customHeight="1">
      <c r="A53" s="9"/>
      <c r="D53" s="9"/>
      <c r="E53" s="9"/>
      <c r="F53" s="9"/>
      <c r="G53" s="9"/>
      <c r="H53" s="9"/>
      <c r="I53" s="9"/>
      <c r="J53" s="24">
        <v>1024.0</v>
      </c>
      <c r="K53" s="29">
        <v>3.0</v>
      </c>
    </row>
    <row r="54" ht="15.75" customHeight="1">
      <c r="A54" s="9"/>
      <c r="D54" s="9"/>
      <c r="E54" s="9"/>
      <c r="F54" s="9"/>
      <c r="G54" s="9"/>
      <c r="H54" s="9"/>
      <c r="I54" s="9"/>
      <c r="J54" s="24">
        <v>1033.0</v>
      </c>
      <c r="K54" s="29">
        <v>3.0</v>
      </c>
    </row>
    <row r="55" ht="15.75" customHeight="1">
      <c r="A55" s="9"/>
      <c r="D55" s="9"/>
      <c r="E55" s="9"/>
      <c r="F55" s="9"/>
      <c r="G55" s="9"/>
      <c r="H55" s="9"/>
      <c r="I55" s="9"/>
      <c r="J55" s="24">
        <v>1041.0</v>
      </c>
      <c r="K55" s="29">
        <v>3.0</v>
      </c>
    </row>
    <row r="56" ht="15.75" customHeight="1">
      <c r="A56" s="9"/>
      <c r="D56" s="9"/>
      <c r="E56" s="9"/>
      <c r="F56" s="9"/>
      <c r="G56" s="9"/>
      <c r="H56" s="9"/>
      <c r="I56" s="9"/>
      <c r="J56" s="24">
        <v>1059.0</v>
      </c>
      <c r="K56" s="29">
        <v>3.0</v>
      </c>
    </row>
    <row r="57" ht="15.75" customHeight="1">
      <c r="A57" s="9"/>
      <c r="D57" s="9"/>
      <c r="E57" s="9"/>
      <c r="F57" s="9"/>
      <c r="G57" s="9"/>
      <c r="H57" s="9"/>
      <c r="I57" s="9"/>
      <c r="J57" s="24">
        <v>1076.0</v>
      </c>
      <c r="K57" s="29">
        <v>3.0</v>
      </c>
    </row>
    <row r="58" ht="15.75" customHeight="1">
      <c r="A58" s="9"/>
      <c r="E58" s="9"/>
      <c r="F58" s="9"/>
      <c r="G58" s="9"/>
      <c r="H58" s="9"/>
      <c r="I58" s="9"/>
      <c r="J58" s="24">
        <v>1101.0</v>
      </c>
      <c r="K58" s="29">
        <v>3.0</v>
      </c>
    </row>
    <row r="59" ht="15.75" customHeight="1">
      <c r="E59" s="9"/>
      <c r="F59" s="9"/>
      <c r="G59" s="9"/>
      <c r="H59" s="9"/>
      <c r="I59" s="9"/>
      <c r="J59" s="24">
        <v>1104.0</v>
      </c>
      <c r="K59" s="29">
        <v>3.0</v>
      </c>
    </row>
    <row r="60" ht="15.75" customHeight="1">
      <c r="E60" s="9"/>
      <c r="F60" s="9"/>
      <c r="G60" s="9"/>
      <c r="H60" s="9"/>
      <c r="I60" s="9"/>
      <c r="J60" s="24">
        <v>1118.0</v>
      </c>
      <c r="K60" s="29">
        <v>3.0</v>
      </c>
    </row>
    <row r="61" ht="15.75" customHeight="1">
      <c r="E61" s="9"/>
      <c r="F61" s="9"/>
      <c r="G61" s="9"/>
      <c r="H61" s="9"/>
      <c r="I61" s="9"/>
      <c r="J61" s="24">
        <v>1133.0</v>
      </c>
      <c r="K61" s="29">
        <v>3.0</v>
      </c>
    </row>
    <row r="62" ht="15.75" customHeight="1">
      <c r="E62" s="9"/>
      <c r="F62" s="9"/>
      <c r="G62" s="9"/>
      <c r="H62" s="9"/>
      <c r="I62" s="9"/>
      <c r="J62" s="24">
        <v>1134.0</v>
      </c>
      <c r="K62" s="29">
        <v>3.0</v>
      </c>
    </row>
    <row r="63" ht="15.75" customHeight="1">
      <c r="E63" s="9"/>
      <c r="F63" s="9"/>
      <c r="G63" s="9"/>
      <c r="H63" s="9"/>
      <c r="I63" s="9"/>
      <c r="J63" s="24">
        <v>1139.0</v>
      </c>
      <c r="K63" s="29">
        <v>3.0</v>
      </c>
    </row>
    <row r="64" ht="15.75" customHeight="1">
      <c r="E64" s="9"/>
      <c r="F64" s="9"/>
      <c r="G64" s="9"/>
      <c r="H64" s="9"/>
      <c r="I64" s="9"/>
      <c r="J64" s="24">
        <v>1143.0</v>
      </c>
      <c r="K64" s="29">
        <v>3.0</v>
      </c>
    </row>
    <row r="65" ht="15.75" customHeight="1">
      <c r="E65" s="9"/>
      <c r="F65" s="9"/>
      <c r="G65" s="9"/>
      <c r="H65" s="9"/>
      <c r="I65" s="9"/>
      <c r="J65" s="24">
        <v>1003.0</v>
      </c>
      <c r="K65" s="29">
        <v>2.0</v>
      </c>
    </row>
    <row r="66" ht="15.75" customHeight="1">
      <c r="E66" s="9"/>
      <c r="F66" s="9"/>
      <c r="G66" s="9"/>
      <c r="H66" s="9"/>
      <c r="I66" s="9"/>
      <c r="J66" s="24">
        <v>1006.0</v>
      </c>
      <c r="K66" s="29">
        <v>2.0</v>
      </c>
    </row>
    <row r="67" ht="15.75" customHeight="1">
      <c r="E67" s="9"/>
      <c r="F67" s="9"/>
      <c r="G67" s="9"/>
      <c r="H67" s="9"/>
      <c r="I67" s="9"/>
      <c r="J67" s="24">
        <v>1009.0</v>
      </c>
      <c r="K67" s="29">
        <v>2.0</v>
      </c>
    </row>
    <row r="68" ht="15.75" customHeight="1">
      <c r="E68" s="9"/>
      <c r="F68" s="9"/>
      <c r="G68" s="9"/>
      <c r="H68" s="9"/>
      <c r="I68" s="9"/>
      <c r="J68" s="24">
        <v>1022.0</v>
      </c>
      <c r="K68" s="29">
        <v>2.0</v>
      </c>
    </row>
    <row r="69" ht="15.75" customHeight="1">
      <c r="E69" s="9"/>
      <c r="F69" s="9"/>
      <c r="G69" s="9"/>
      <c r="H69" s="9"/>
      <c r="I69" s="9"/>
      <c r="J69" s="24">
        <v>1023.0</v>
      </c>
      <c r="K69" s="29">
        <v>2.0</v>
      </c>
    </row>
    <row r="70" ht="15.75" customHeight="1">
      <c r="E70" s="9"/>
      <c r="F70" s="9"/>
      <c r="G70" s="9"/>
      <c r="H70" s="9"/>
      <c r="I70" s="9"/>
      <c r="J70" s="24">
        <v>1026.0</v>
      </c>
      <c r="K70" s="29">
        <v>2.0</v>
      </c>
    </row>
    <row r="71" ht="15.75" customHeight="1">
      <c r="E71" s="9"/>
      <c r="F71" s="9"/>
      <c r="G71" s="9"/>
      <c r="H71" s="9"/>
      <c r="I71" s="9"/>
      <c r="J71" s="24">
        <v>1036.0</v>
      </c>
      <c r="K71" s="29">
        <v>2.0</v>
      </c>
    </row>
    <row r="72" ht="15.75" customHeight="1">
      <c r="E72" s="9"/>
      <c r="F72" s="9"/>
      <c r="G72" s="9"/>
      <c r="H72" s="9"/>
      <c r="I72" s="9"/>
      <c r="J72" s="24">
        <v>1037.0</v>
      </c>
      <c r="K72" s="29">
        <v>2.0</v>
      </c>
    </row>
    <row r="73" ht="15.75" customHeight="1">
      <c r="E73" s="9"/>
      <c r="F73" s="9"/>
      <c r="G73" s="9"/>
      <c r="H73" s="9"/>
      <c r="I73" s="9"/>
      <c r="J73" s="24">
        <v>1039.0</v>
      </c>
      <c r="K73" s="29">
        <v>2.0</v>
      </c>
    </row>
    <row r="74" ht="15.75" customHeight="1">
      <c r="E74" s="9"/>
      <c r="F74" s="9"/>
      <c r="G74" s="9"/>
      <c r="H74" s="9"/>
      <c r="I74" s="9"/>
      <c r="J74" s="24">
        <v>1045.0</v>
      </c>
      <c r="K74" s="29">
        <v>2.0</v>
      </c>
    </row>
    <row r="75" ht="15.75" customHeight="1">
      <c r="E75" s="9"/>
      <c r="F75" s="9"/>
      <c r="G75" s="9"/>
      <c r="H75" s="9"/>
      <c r="I75" s="9"/>
      <c r="J75" s="24">
        <v>1063.0</v>
      </c>
      <c r="K75" s="29">
        <v>2.0</v>
      </c>
    </row>
    <row r="76" ht="15.75" customHeight="1">
      <c r="E76" s="9"/>
      <c r="F76" s="9"/>
      <c r="G76" s="9"/>
      <c r="H76" s="9"/>
      <c r="I76" s="9"/>
      <c r="J76" s="24">
        <v>1065.0</v>
      </c>
      <c r="K76" s="29">
        <v>2.0</v>
      </c>
    </row>
    <row r="77" ht="15.75" customHeight="1">
      <c r="E77" s="9"/>
      <c r="F77" s="9"/>
      <c r="G77" s="9"/>
      <c r="H77" s="9"/>
      <c r="I77" s="9"/>
      <c r="J77" s="24">
        <v>1070.0</v>
      </c>
      <c r="K77" s="29">
        <v>2.0</v>
      </c>
    </row>
    <row r="78" ht="15.75" customHeight="1">
      <c r="E78" s="9"/>
      <c r="F78" s="9"/>
      <c r="G78" s="9"/>
      <c r="H78" s="9"/>
      <c r="I78" s="9"/>
      <c r="J78" s="24">
        <v>1071.0</v>
      </c>
      <c r="K78" s="29">
        <v>2.0</v>
      </c>
    </row>
    <row r="79" ht="15.75" customHeight="1">
      <c r="E79" s="9"/>
      <c r="F79" s="9"/>
      <c r="G79" s="9"/>
      <c r="H79" s="9"/>
      <c r="I79" s="9"/>
      <c r="J79" s="24">
        <v>1074.0</v>
      </c>
      <c r="K79" s="29">
        <v>2.0</v>
      </c>
    </row>
    <row r="80" ht="15.75" customHeight="1">
      <c r="E80" s="9"/>
      <c r="F80" s="9"/>
      <c r="G80" s="9"/>
      <c r="H80" s="9"/>
      <c r="I80" s="9"/>
      <c r="J80" s="24">
        <v>1077.0</v>
      </c>
      <c r="K80" s="29">
        <v>2.0</v>
      </c>
    </row>
    <row r="81" ht="15.75" customHeight="1">
      <c r="E81" s="9"/>
      <c r="F81" s="9"/>
      <c r="G81" s="9"/>
      <c r="H81" s="9"/>
      <c r="I81" s="9"/>
      <c r="J81" s="24">
        <v>1080.0</v>
      </c>
      <c r="K81" s="29">
        <v>2.0</v>
      </c>
    </row>
    <row r="82" ht="15.75" customHeight="1">
      <c r="E82" s="9"/>
      <c r="F82" s="9"/>
      <c r="G82" s="9"/>
      <c r="H82" s="9"/>
      <c r="I82" s="9"/>
      <c r="J82" s="24">
        <v>1085.0</v>
      </c>
      <c r="K82" s="29">
        <v>2.0</v>
      </c>
    </row>
    <row r="83" ht="15.75" customHeight="1">
      <c r="E83" s="9"/>
      <c r="F83" s="9"/>
      <c r="G83" s="9"/>
      <c r="H83" s="9"/>
      <c r="I83" s="9"/>
      <c r="J83" s="24">
        <v>1088.0</v>
      </c>
      <c r="K83" s="29">
        <v>2.0</v>
      </c>
    </row>
    <row r="84" ht="15.75" customHeight="1">
      <c r="E84" s="9"/>
      <c r="F84" s="9"/>
      <c r="G84" s="9"/>
      <c r="H84" s="9"/>
      <c r="I84" s="9"/>
      <c r="J84" s="24">
        <v>1089.0</v>
      </c>
      <c r="K84" s="29">
        <v>2.0</v>
      </c>
    </row>
    <row r="85" ht="15.75" customHeight="1">
      <c r="E85" s="9"/>
      <c r="F85" s="9"/>
      <c r="G85" s="9"/>
      <c r="H85" s="9"/>
      <c r="I85" s="9"/>
      <c r="J85" s="24">
        <v>1090.0</v>
      </c>
      <c r="K85" s="29">
        <v>2.0</v>
      </c>
    </row>
    <row r="86" ht="15.75" customHeight="1">
      <c r="E86" s="9"/>
      <c r="F86" s="9"/>
      <c r="G86" s="9"/>
      <c r="H86" s="9"/>
      <c r="I86" s="9"/>
      <c r="J86" s="24">
        <v>1091.0</v>
      </c>
      <c r="K86" s="29">
        <v>2.0</v>
      </c>
    </row>
    <row r="87" ht="15.75" customHeight="1">
      <c r="E87" s="9"/>
      <c r="F87" s="9"/>
      <c r="G87" s="9"/>
      <c r="H87" s="9"/>
      <c r="I87" s="9"/>
      <c r="J87" s="24">
        <v>1093.0</v>
      </c>
      <c r="K87" s="29">
        <v>2.0</v>
      </c>
    </row>
    <row r="88" ht="15.75" customHeight="1">
      <c r="E88" s="9"/>
      <c r="F88" s="9"/>
      <c r="G88" s="9"/>
      <c r="H88" s="9"/>
      <c r="I88" s="9"/>
      <c r="J88" s="24">
        <v>1094.0</v>
      </c>
      <c r="K88" s="29">
        <v>2.0</v>
      </c>
    </row>
    <row r="89" ht="15.75" customHeight="1">
      <c r="E89" s="9"/>
      <c r="F89" s="9"/>
      <c r="G89" s="9"/>
      <c r="H89" s="9"/>
      <c r="I89" s="9"/>
      <c r="J89" s="24">
        <v>1096.0</v>
      </c>
      <c r="K89" s="29">
        <v>2.0</v>
      </c>
    </row>
    <row r="90" ht="15.75" customHeight="1">
      <c r="E90" s="9"/>
      <c r="F90" s="9"/>
      <c r="G90" s="9"/>
      <c r="H90" s="9"/>
      <c r="I90" s="9"/>
      <c r="J90" s="24">
        <v>1098.0</v>
      </c>
      <c r="K90" s="29">
        <v>2.0</v>
      </c>
    </row>
    <row r="91" ht="15.75" customHeight="1">
      <c r="E91" s="9"/>
      <c r="F91" s="9"/>
      <c r="G91" s="9"/>
      <c r="H91" s="9"/>
      <c r="I91" s="9"/>
      <c r="J91" s="24">
        <v>1099.0</v>
      </c>
      <c r="K91" s="29">
        <v>2.0</v>
      </c>
    </row>
    <row r="92" ht="15.75" customHeight="1">
      <c r="E92" s="9"/>
      <c r="F92" s="9"/>
      <c r="G92" s="9"/>
      <c r="H92" s="9"/>
      <c r="I92" s="9"/>
      <c r="J92" s="24">
        <v>1106.0</v>
      </c>
      <c r="K92" s="29">
        <v>2.0</v>
      </c>
    </row>
    <row r="93" ht="15.75" customHeight="1">
      <c r="E93" s="9"/>
      <c r="F93" s="9"/>
      <c r="G93" s="9"/>
      <c r="H93" s="9"/>
      <c r="I93" s="9"/>
      <c r="J93" s="24">
        <v>1108.0</v>
      </c>
      <c r="K93" s="29">
        <v>2.0</v>
      </c>
    </row>
    <row r="94" ht="15.75" customHeight="1">
      <c r="E94" s="9"/>
      <c r="F94" s="9"/>
      <c r="G94" s="9"/>
      <c r="H94" s="9"/>
      <c r="I94" s="9"/>
      <c r="J94" s="24">
        <v>1109.0</v>
      </c>
      <c r="K94" s="29">
        <v>2.0</v>
      </c>
    </row>
    <row r="95" ht="15.75" customHeight="1">
      <c r="E95" s="9"/>
      <c r="F95" s="9"/>
      <c r="G95" s="9"/>
      <c r="H95" s="9"/>
      <c r="I95" s="9"/>
      <c r="J95" s="24">
        <v>1111.0</v>
      </c>
      <c r="K95" s="29">
        <v>2.0</v>
      </c>
    </row>
    <row r="96" ht="15.75" customHeight="1">
      <c r="E96" s="9"/>
      <c r="F96" s="9"/>
      <c r="G96" s="9"/>
      <c r="H96" s="9"/>
      <c r="I96" s="9"/>
      <c r="J96" s="24">
        <v>1114.0</v>
      </c>
      <c r="K96" s="29">
        <v>2.0</v>
      </c>
    </row>
    <row r="97" ht="15.75" customHeight="1">
      <c r="E97" s="9"/>
      <c r="F97" s="9"/>
      <c r="G97" s="9"/>
      <c r="H97" s="9"/>
      <c r="I97" s="9"/>
      <c r="J97" s="24">
        <v>1115.0</v>
      </c>
      <c r="K97" s="29">
        <v>2.0</v>
      </c>
    </row>
    <row r="98" ht="15.75" customHeight="1">
      <c r="E98" s="9"/>
      <c r="F98" s="9"/>
      <c r="G98" s="9"/>
      <c r="H98" s="9"/>
      <c r="I98" s="9"/>
      <c r="J98" s="24">
        <v>1117.0</v>
      </c>
      <c r="K98" s="29">
        <v>2.0</v>
      </c>
    </row>
    <row r="99" ht="15.75" customHeight="1">
      <c r="E99" s="9"/>
      <c r="F99" s="9"/>
      <c r="G99" s="9"/>
      <c r="H99" s="9"/>
      <c r="I99" s="9"/>
      <c r="J99" s="24">
        <v>1122.0</v>
      </c>
      <c r="K99" s="29">
        <v>2.0</v>
      </c>
    </row>
    <row r="100" ht="15.75" customHeight="1">
      <c r="E100" s="9"/>
      <c r="F100" s="9"/>
      <c r="G100" s="9"/>
      <c r="H100" s="9"/>
      <c r="I100" s="9"/>
      <c r="J100" s="24">
        <v>1123.0</v>
      </c>
      <c r="K100" s="29">
        <v>2.0</v>
      </c>
    </row>
    <row r="101" ht="15.75" customHeight="1">
      <c r="E101" s="9"/>
      <c r="F101" s="9"/>
      <c r="G101" s="9"/>
      <c r="H101" s="9"/>
      <c r="I101" s="9"/>
      <c r="J101" s="24">
        <v>1125.0</v>
      </c>
      <c r="K101" s="29">
        <v>2.0</v>
      </c>
    </row>
    <row r="102" ht="15.75" customHeight="1">
      <c r="E102" s="9"/>
      <c r="F102" s="9"/>
      <c r="G102" s="9"/>
      <c r="H102" s="9"/>
      <c r="I102" s="9"/>
      <c r="J102" s="24">
        <v>1126.0</v>
      </c>
      <c r="K102" s="29">
        <v>2.0</v>
      </c>
    </row>
    <row r="103" ht="15.75" customHeight="1">
      <c r="E103" s="9"/>
      <c r="F103" s="9"/>
      <c r="G103" s="9"/>
      <c r="H103" s="9"/>
      <c r="I103" s="9"/>
      <c r="J103" s="24">
        <v>1127.0</v>
      </c>
      <c r="K103" s="29">
        <v>2.0</v>
      </c>
    </row>
    <row r="104" ht="15.75" customHeight="1">
      <c r="E104" s="9"/>
      <c r="F104" s="9"/>
      <c r="G104" s="9"/>
      <c r="H104" s="9"/>
      <c r="I104" s="9"/>
      <c r="J104" s="24">
        <v>1136.0</v>
      </c>
      <c r="K104" s="29">
        <v>2.0</v>
      </c>
    </row>
    <row r="105" ht="15.75" customHeight="1">
      <c r="E105" s="9"/>
      <c r="F105" s="9"/>
      <c r="G105" s="9"/>
      <c r="H105" s="9"/>
      <c r="I105" s="9"/>
      <c r="J105" s="24">
        <v>1137.0</v>
      </c>
      <c r="K105" s="29">
        <v>2.0</v>
      </c>
    </row>
    <row r="106" ht="15.75" customHeight="1">
      <c r="E106" s="9"/>
      <c r="F106" s="9"/>
      <c r="G106" s="9"/>
      <c r="H106" s="9"/>
      <c r="I106" s="9"/>
      <c r="J106" s="24">
        <v>1140.0</v>
      </c>
      <c r="K106" s="29">
        <v>2.0</v>
      </c>
    </row>
    <row r="107" ht="15.75" customHeight="1">
      <c r="E107" s="9"/>
      <c r="F107" s="9"/>
      <c r="G107" s="9"/>
      <c r="H107" s="9"/>
      <c r="I107" s="9"/>
      <c r="J107" s="24">
        <v>1142.0</v>
      </c>
      <c r="K107" s="29">
        <v>2.0</v>
      </c>
    </row>
    <row r="108" ht="15.75" customHeight="1">
      <c r="E108" s="9"/>
      <c r="F108" s="9"/>
      <c r="G108" s="9"/>
      <c r="H108" s="9"/>
      <c r="I108" s="9"/>
      <c r="J108" s="24">
        <v>1002.0</v>
      </c>
      <c r="K108" s="29">
        <v>1.0</v>
      </c>
    </row>
    <row r="109" ht="15.75" customHeight="1">
      <c r="E109" s="9"/>
      <c r="F109" s="9"/>
      <c r="G109" s="9"/>
      <c r="H109" s="9"/>
      <c r="I109" s="9"/>
      <c r="J109" s="24">
        <v>1004.0</v>
      </c>
      <c r="K109" s="29">
        <v>1.0</v>
      </c>
    </row>
    <row r="110" ht="15.75" customHeight="1">
      <c r="E110" s="9"/>
      <c r="F110" s="9"/>
      <c r="G110" s="9"/>
      <c r="H110" s="9"/>
      <c r="I110" s="9"/>
      <c r="J110" s="24">
        <v>1008.0</v>
      </c>
      <c r="K110" s="29">
        <v>1.0</v>
      </c>
    </row>
    <row r="111" ht="15.75" customHeight="1">
      <c r="E111" s="9"/>
      <c r="F111" s="9"/>
      <c r="G111" s="9"/>
      <c r="H111" s="9"/>
      <c r="I111" s="9"/>
      <c r="J111" s="24">
        <v>1010.0</v>
      </c>
      <c r="K111" s="29">
        <v>1.0</v>
      </c>
    </row>
    <row r="112" ht="15.75" customHeight="1">
      <c r="E112" s="9"/>
      <c r="F112" s="9"/>
      <c r="G112" s="9"/>
      <c r="H112" s="9"/>
      <c r="I112" s="9"/>
      <c r="J112" s="24">
        <v>1011.0</v>
      </c>
      <c r="K112" s="29">
        <v>1.0</v>
      </c>
    </row>
    <row r="113" ht="15.75" customHeight="1">
      <c r="E113" s="9"/>
      <c r="F113" s="9"/>
      <c r="G113" s="9"/>
      <c r="H113" s="9"/>
      <c r="I113" s="9"/>
      <c r="J113" s="24">
        <v>1012.0</v>
      </c>
      <c r="K113" s="29">
        <v>1.0</v>
      </c>
    </row>
    <row r="114" ht="15.75" customHeight="1">
      <c r="E114" s="9"/>
      <c r="F114" s="9"/>
      <c r="G114" s="9"/>
      <c r="H114" s="9"/>
      <c r="I114" s="9"/>
      <c r="J114" s="24">
        <v>1013.0</v>
      </c>
      <c r="K114" s="29">
        <v>1.0</v>
      </c>
    </row>
    <row r="115" ht="15.75" customHeight="1">
      <c r="E115" s="9"/>
      <c r="F115" s="9"/>
      <c r="G115" s="9"/>
      <c r="H115" s="9"/>
      <c r="I115" s="9"/>
      <c r="J115" s="24">
        <v>1017.0</v>
      </c>
      <c r="K115" s="29">
        <v>1.0</v>
      </c>
    </row>
    <row r="116" ht="15.75" customHeight="1">
      <c r="E116" s="9"/>
      <c r="F116" s="9"/>
      <c r="G116" s="9"/>
      <c r="H116" s="9"/>
      <c r="I116" s="9"/>
      <c r="J116" s="24">
        <v>1018.0</v>
      </c>
      <c r="K116" s="29">
        <v>1.0</v>
      </c>
    </row>
    <row r="117" ht="15.75" customHeight="1">
      <c r="E117" s="9"/>
      <c r="F117" s="9"/>
      <c r="G117" s="9"/>
      <c r="H117" s="9"/>
      <c r="I117" s="9"/>
      <c r="J117" s="24">
        <v>1019.0</v>
      </c>
      <c r="K117" s="29">
        <v>1.0</v>
      </c>
    </row>
    <row r="118" ht="15.75" customHeight="1">
      <c r="E118" s="9"/>
      <c r="F118" s="9"/>
      <c r="G118" s="9"/>
      <c r="H118" s="9"/>
      <c r="I118" s="9"/>
      <c r="J118" s="24">
        <v>1021.0</v>
      </c>
      <c r="K118" s="29">
        <v>1.0</v>
      </c>
    </row>
    <row r="119" ht="15.75" customHeight="1">
      <c r="E119" s="9"/>
      <c r="F119" s="9"/>
      <c r="G119" s="9"/>
      <c r="H119" s="9"/>
      <c r="I119" s="9"/>
      <c r="J119" s="24">
        <v>1025.0</v>
      </c>
      <c r="K119" s="29">
        <v>1.0</v>
      </c>
    </row>
    <row r="120" ht="15.75" customHeight="1">
      <c r="E120" s="9"/>
      <c r="F120" s="9"/>
      <c r="G120" s="9"/>
      <c r="H120" s="9"/>
      <c r="I120" s="9"/>
      <c r="J120" s="24">
        <v>1029.0</v>
      </c>
      <c r="K120" s="29">
        <v>1.0</v>
      </c>
    </row>
    <row r="121" ht="15.75" customHeight="1">
      <c r="E121" s="9"/>
      <c r="F121" s="9"/>
      <c r="G121" s="9"/>
      <c r="H121" s="9"/>
      <c r="I121" s="9"/>
      <c r="J121" s="24">
        <v>1031.0</v>
      </c>
      <c r="K121" s="29">
        <v>1.0</v>
      </c>
    </row>
    <row r="122" ht="15.75" customHeight="1">
      <c r="E122" s="9"/>
      <c r="F122" s="9"/>
      <c r="G122" s="9"/>
      <c r="H122" s="9"/>
      <c r="I122" s="9"/>
      <c r="J122" s="24">
        <v>1035.0</v>
      </c>
      <c r="K122" s="29">
        <v>1.0</v>
      </c>
    </row>
    <row r="123" ht="15.75" customHeight="1">
      <c r="E123" s="9"/>
      <c r="F123" s="9"/>
      <c r="G123" s="9"/>
      <c r="H123" s="9"/>
      <c r="I123" s="9"/>
      <c r="J123" s="24">
        <v>1038.0</v>
      </c>
      <c r="K123" s="29">
        <v>1.0</v>
      </c>
    </row>
    <row r="124" ht="15.75" customHeight="1">
      <c r="E124" s="9"/>
      <c r="F124" s="9"/>
      <c r="G124" s="9"/>
      <c r="H124" s="9"/>
      <c r="I124" s="9"/>
      <c r="J124" s="24">
        <v>1040.0</v>
      </c>
      <c r="K124" s="29">
        <v>1.0</v>
      </c>
    </row>
    <row r="125" ht="15.75" customHeight="1">
      <c r="E125" s="9"/>
      <c r="F125" s="9"/>
      <c r="G125" s="9"/>
      <c r="H125" s="9"/>
      <c r="I125" s="9"/>
      <c r="J125" s="24">
        <v>1042.0</v>
      </c>
      <c r="K125" s="29">
        <v>1.0</v>
      </c>
    </row>
    <row r="126" ht="15.75" customHeight="1">
      <c r="E126" s="9"/>
      <c r="F126" s="9"/>
      <c r="G126" s="9"/>
      <c r="H126" s="9"/>
      <c r="I126" s="9"/>
      <c r="J126" s="24">
        <v>1043.0</v>
      </c>
      <c r="K126" s="29">
        <v>1.0</v>
      </c>
    </row>
    <row r="127" ht="15.75" customHeight="1">
      <c r="E127" s="9"/>
      <c r="F127" s="9"/>
      <c r="G127" s="9"/>
      <c r="H127" s="9"/>
      <c r="I127" s="9"/>
      <c r="J127" s="24">
        <v>1046.0</v>
      </c>
      <c r="K127" s="29">
        <v>1.0</v>
      </c>
    </row>
    <row r="128" ht="15.75" customHeight="1">
      <c r="E128" s="9"/>
      <c r="F128" s="9"/>
      <c r="G128" s="9"/>
      <c r="H128" s="9"/>
      <c r="I128" s="9"/>
      <c r="J128" s="24">
        <v>1047.0</v>
      </c>
      <c r="K128" s="29">
        <v>1.0</v>
      </c>
    </row>
    <row r="129" ht="15.75" customHeight="1">
      <c r="E129" s="9"/>
      <c r="F129" s="9"/>
      <c r="G129" s="9"/>
      <c r="I129" s="9"/>
      <c r="J129" s="24">
        <v>1048.0</v>
      </c>
      <c r="K129" s="29">
        <v>1.0</v>
      </c>
    </row>
    <row r="130" ht="15.75" customHeight="1">
      <c r="E130" s="9"/>
      <c r="F130" s="9"/>
      <c r="G130" s="9"/>
      <c r="I130" s="9"/>
      <c r="J130" s="24">
        <v>1049.0</v>
      </c>
      <c r="K130" s="29">
        <v>1.0</v>
      </c>
    </row>
    <row r="131" ht="15.75" customHeight="1">
      <c r="E131" s="9"/>
      <c r="F131" s="9"/>
      <c r="G131" s="9"/>
      <c r="I131" s="9"/>
      <c r="J131" s="24">
        <v>1050.0</v>
      </c>
      <c r="K131" s="29">
        <v>1.0</v>
      </c>
    </row>
    <row r="132" ht="15.75" customHeight="1">
      <c r="E132" s="9"/>
      <c r="F132" s="9"/>
      <c r="G132" s="9"/>
      <c r="I132" s="9"/>
      <c r="J132" s="24">
        <v>1051.0</v>
      </c>
      <c r="K132" s="29">
        <v>1.0</v>
      </c>
    </row>
    <row r="133" ht="15.75" customHeight="1">
      <c r="E133" s="9"/>
      <c r="F133" s="9"/>
      <c r="G133" s="9"/>
      <c r="I133" s="9"/>
      <c r="J133" s="24">
        <v>1052.0</v>
      </c>
      <c r="K133" s="29">
        <v>1.0</v>
      </c>
    </row>
    <row r="134" ht="15.75" customHeight="1">
      <c r="E134" s="9"/>
      <c r="F134" s="9"/>
      <c r="G134" s="9"/>
      <c r="I134" s="9"/>
      <c r="J134" s="24">
        <v>1053.0</v>
      </c>
      <c r="K134" s="29">
        <v>1.0</v>
      </c>
    </row>
    <row r="135" ht="15.75" customHeight="1">
      <c r="E135" s="9"/>
      <c r="F135" s="9"/>
      <c r="G135" s="9"/>
      <c r="I135" s="9"/>
      <c r="J135" s="24">
        <v>1055.0</v>
      </c>
      <c r="K135" s="29">
        <v>1.0</v>
      </c>
    </row>
    <row r="136" ht="15.75" customHeight="1">
      <c r="E136" s="9"/>
      <c r="F136" s="9"/>
      <c r="G136" s="9"/>
      <c r="I136" s="9"/>
      <c r="J136" s="24">
        <v>1056.0</v>
      </c>
      <c r="K136" s="29">
        <v>1.0</v>
      </c>
    </row>
    <row r="137" ht="15.75" customHeight="1">
      <c r="E137" s="9"/>
      <c r="F137" s="9"/>
      <c r="G137" s="9"/>
      <c r="I137" s="9"/>
      <c r="J137" s="24">
        <v>1060.0</v>
      </c>
      <c r="K137" s="29">
        <v>1.0</v>
      </c>
    </row>
    <row r="138" ht="15.75" customHeight="1">
      <c r="E138" s="9"/>
      <c r="F138" s="9"/>
      <c r="G138" s="9"/>
      <c r="I138" s="9"/>
      <c r="J138" s="24">
        <v>1062.0</v>
      </c>
      <c r="K138" s="29">
        <v>1.0</v>
      </c>
    </row>
    <row r="139" ht="15.75" customHeight="1">
      <c r="E139" s="9"/>
      <c r="F139" s="9"/>
      <c r="G139" s="9"/>
      <c r="I139" s="9"/>
      <c r="J139" s="24">
        <v>1067.0</v>
      </c>
      <c r="K139" s="29">
        <v>1.0</v>
      </c>
    </row>
    <row r="140" ht="15.75" customHeight="1">
      <c r="E140" s="9"/>
      <c r="F140" s="9"/>
      <c r="G140" s="9"/>
      <c r="I140" s="9"/>
      <c r="J140" s="24">
        <v>1068.0</v>
      </c>
      <c r="K140" s="29">
        <v>1.0</v>
      </c>
    </row>
    <row r="141" ht="15.75" customHeight="1">
      <c r="E141" s="9"/>
      <c r="F141" s="9"/>
      <c r="G141" s="9"/>
      <c r="I141" s="9"/>
      <c r="J141" s="24">
        <v>1069.0</v>
      </c>
      <c r="K141" s="29">
        <v>1.0</v>
      </c>
    </row>
    <row r="142" ht="15.75" customHeight="1">
      <c r="E142" s="9"/>
      <c r="F142" s="9"/>
      <c r="G142" s="9"/>
      <c r="I142" s="9"/>
      <c r="J142" s="24">
        <v>1072.0</v>
      </c>
      <c r="K142" s="29">
        <v>1.0</v>
      </c>
    </row>
    <row r="143" ht="15.75" customHeight="1">
      <c r="E143" s="9"/>
      <c r="F143" s="9"/>
      <c r="G143" s="9"/>
      <c r="I143" s="9"/>
      <c r="J143" s="24">
        <v>1073.0</v>
      </c>
      <c r="K143" s="29">
        <v>1.0</v>
      </c>
    </row>
    <row r="144" ht="15.75" customHeight="1">
      <c r="E144" s="9"/>
      <c r="F144" s="9"/>
      <c r="G144" s="9"/>
      <c r="I144" s="9"/>
      <c r="J144" s="24">
        <v>1075.0</v>
      </c>
      <c r="K144" s="29">
        <v>1.0</v>
      </c>
    </row>
    <row r="145" ht="15.75" customHeight="1">
      <c r="E145" s="9"/>
      <c r="F145" s="9"/>
      <c r="G145" s="9"/>
      <c r="I145" s="9"/>
      <c r="J145" s="24">
        <v>1079.0</v>
      </c>
      <c r="K145" s="29">
        <v>1.0</v>
      </c>
    </row>
    <row r="146" ht="15.75" customHeight="1">
      <c r="E146" s="9"/>
      <c r="F146" s="9"/>
      <c r="G146" s="9"/>
      <c r="I146" s="9" t="s">
        <v>353</v>
      </c>
      <c r="J146" s="24">
        <v>1083.0</v>
      </c>
      <c r="K146" s="29">
        <v>1.0</v>
      </c>
    </row>
    <row r="147" ht="15.75" customHeight="1">
      <c r="E147" s="9"/>
      <c r="F147" s="9"/>
      <c r="G147" s="9"/>
      <c r="I147" s="1" t="s">
        <v>354</v>
      </c>
      <c r="J147" s="24">
        <v>1084.0</v>
      </c>
      <c r="K147" s="29">
        <v>1.0</v>
      </c>
    </row>
    <row r="148" ht="15.75" customHeight="1">
      <c r="E148" s="9"/>
      <c r="F148" s="9"/>
      <c r="G148" s="9"/>
      <c r="J148" s="24">
        <v>1086.0</v>
      </c>
      <c r="K148" s="29">
        <v>1.0</v>
      </c>
    </row>
    <row r="149" ht="15.75" customHeight="1">
      <c r="E149" s="9"/>
      <c r="F149" s="9"/>
      <c r="G149" s="9"/>
      <c r="J149" s="24">
        <v>1095.0</v>
      </c>
      <c r="K149" s="29">
        <v>1.0</v>
      </c>
    </row>
    <row r="150" ht="15.75" customHeight="1">
      <c r="E150" s="9"/>
      <c r="F150" s="9"/>
      <c r="G150" s="9"/>
      <c r="J150" s="24">
        <v>1097.0</v>
      </c>
      <c r="K150" s="29">
        <v>1.0</v>
      </c>
    </row>
    <row r="151" ht="15.75" customHeight="1">
      <c r="E151" s="9"/>
      <c r="F151" s="9"/>
      <c r="G151" s="9"/>
      <c r="J151" s="24">
        <v>1100.0</v>
      </c>
      <c r="K151" s="29">
        <v>1.0</v>
      </c>
    </row>
    <row r="152" ht="15.75" customHeight="1">
      <c r="E152" s="9"/>
      <c r="F152" s="9"/>
      <c r="G152" s="9"/>
      <c r="J152" s="24">
        <v>1102.0</v>
      </c>
      <c r="K152" s="29">
        <v>1.0</v>
      </c>
    </row>
    <row r="153" ht="15.75" customHeight="1">
      <c r="E153" s="9"/>
      <c r="F153" s="9"/>
      <c r="G153" s="9"/>
      <c r="J153" s="24">
        <v>1107.0</v>
      </c>
      <c r="K153" s="29">
        <v>1.0</v>
      </c>
    </row>
    <row r="154" ht="15.75" customHeight="1">
      <c r="E154" s="9"/>
      <c r="F154" s="9"/>
      <c r="G154" s="9"/>
      <c r="J154" s="24">
        <v>1110.0</v>
      </c>
      <c r="K154" s="29">
        <v>1.0</v>
      </c>
    </row>
    <row r="155" ht="15.75" customHeight="1">
      <c r="E155" s="9"/>
      <c r="F155" s="9"/>
      <c r="G155" s="9"/>
      <c r="J155" s="24">
        <v>1113.0</v>
      </c>
      <c r="K155" s="29">
        <v>1.0</v>
      </c>
    </row>
    <row r="156" ht="15.75" customHeight="1">
      <c r="E156" s="9"/>
      <c r="F156" s="9"/>
      <c r="G156" s="9"/>
      <c r="J156" s="24">
        <v>1116.0</v>
      </c>
      <c r="K156" s="29">
        <v>1.0</v>
      </c>
    </row>
    <row r="157" ht="15.75" customHeight="1">
      <c r="E157" s="9"/>
      <c r="F157" s="9"/>
      <c r="G157" s="9"/>
      <c r="J157" s="24">
        <v>1119.0</v>
      </c>
      <c r="K157" s="29">
        <v>1.0</v>
      </c>
    </row>
    <row r="158" ht="15.75" customHeight="1">
      <c r="J158" s="24">
        <v>1120.0</v>
      </c>
      <c r="K158" s="29">
        <v>1.0</v>
      </c>
    </row>
    <row r="159" ht="15.75" customHeight="1">
      <c r="J159" s="24">
        <v>1121.0</v>
      </c>
      <c r="K159" s="29">
        <v>1.0</v>
      </c>
    </row>
    <row r="160" ht="15.75" customHeight="1">
      <c r="J160" s="24">
        <v>1124.0</v>
      </c>
      <c r="K160" s="29">
        <v>1.0</v>
      </c>
    </row>
    <row r="161" ht="15.75" customHeight="1">
      <c r="J161" s="24">
        <v>1131.0</v>
      </c>
      <c r="K161" s="29">
        <v>1.0</v>
      </c>
    </row>
    <row r="162" ht="15.75" customHeight="1">
      <c r="J162" s="24">
        <v>1132.0</v>
      </c>
      <c r="K162" s="29">
        <v>1.0</v>
      </c>
    </row>
    <row r="163" ht="15.75" customHeight="1">
      <c r="J163" s="24">
        <v>1135.0</v>
      </c>
      <c r="K163" s="29">
        <v>1.0</v>
      </c>
    </row>
    <row r="164" ht="15.75" customHeight="1">
      <c r="J164" s="24">
        <v>1138.0</v>
      </c>
      <c r="K164" s="29">
        <v>1.0</v>
      </c>
    </row>
    <row r="165" ht="15.75" customHeight="1">
      <c r="J165" s="24">
        <v>1141.0</v>
      </c>
      <c r="K165" s="29">
        <v>1.0</v>
      </c>
    </row>
    <row r="166" ht="15.75" customHeight="1">
      <c r="J166" s="1">
        <v>1144.0</v>
      </c>
      <c r="K166" s="29">
        <v>1.0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J2:K2"/>
    <mergeCell ref="N2:O2"/>
  </mergeCells>
  <conditionalFormatting sqref="J2:K19 Q5:Q2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">
      <c r="E2" s="30" t="s">
        <v>355</v>
      </c>
    </row>
    <row r="3">
      <c r="B3" s="1"/>
    </row>
    <row r="4">
      <c r="C4" s="1" t="s">
        <v>214</v>
      </c>
      <c r="D4" s="1" t="s">
        <v>216</v>
      </c>
      <c r="E4" s="1" t="s">
        <v>58</v>
      </c>
      <c r="F4" s="1" t="s">
        <v>218</v>
      </c>
      <c r="G4" s="1" t="s">
        <v>59</v>
      </c>
      <c r="H4" s="1" t="s">
        <v>221</v>
      </c>
      <c r="I4" s="1" t="s">
        <v>222</v>
      </c>
      <c r="J4" s="1" t="s">
        <v>19</v>
      </c>
      <c r="K4" s="1" t="s">
        <v>231</v>
      </c>
      <c r="L4" s="1" t="s">
        <v>233</v>
      </c>
      <c r="M4" s="1" t="s">
        <v>235</v>
      </c>
      <c r="N4" s="1" t="s">
        <v>239</v>
      </c>
      <c r="O4" s="1" t="s">
        <v>38</v>
      </c>
      <c r="P4" s="1" t="s">
        <v>246</v>
      </c>
      <c r="Q4" s="1" t="s">
        <v>248</v>
      </c>
      <c r="R4" s="1" t="s">
        <v>252</v>
      </c>
    </row>
    <row r="5">
      <c r="B5" s="9" t="s">
        <v>36</v>
      </c>
      <c r="C5" s="1">
        <f>SUMIFS('SALES REPORT of 3 months'!$F$2:$F1000,'SALES REPORT of 3 months'!$D$2:$D1000,C$4,'SALES REPORT of 3 months'!$E$2:$E1000,$B5)</f>
        <v>1</v>
      </c>
      <c r="D5" s="1">
        <f>SUMIFS('SALES REPORT of 3 months'!$F$2:$F1000,'SALES REPORT of 3 months'!$D$2:$D1000,D$4,'SALES REPORT of 3 months'!$E$2:$E1000,$B5)</f>
        <v>11</v>
      </c>
      <c r="E5" s="1">
        <f>SUMIFS('SALES REPORT of 3 months'!$F$2:$F1000,'SALES REPORT of 3 months'!$D$2:$D1000,E$4,'SALES REPORT of 3 months'!$E$2:$E1000,$B5)</f>
        <v>3</v>
      </c>
      <c r="F5" s="1">
        <f>SUMIFS('SALES REPORT of 3 months'!$F$2:$F1000,'SALES REPORT of 3 months'!$D$2:$D1000,F$4,'SALES REPORT of 3 months'!$E$2:$E1000,$B5)</f>
        <v>3</v>
      </c>
      <c r="G5" s="1">
        <f>SUMIFS('SALES REPORT of 3 months'!$F$2:$F1000,'SALES REPORT of 3 months'!$D$2:$D1000,G$4,'SALES REPORT of 3 months'!$E$2:$E1000,$B5)</f>
        <v>10</v>
      </c>
      <c r="H5" s="1">
        <f>SUMIFS('SALES REPORT of 3 months'!$F$2:$F1000,'SALES REPORT of 3 months'!$D$2:$D1000,H$4,'SALES REPORT of 3 months'!$E$2:$E1000,$B5)</f>
        <v>2</v>
      </c>
      <c r="I5" s="1">
        <f>SUMIFS('SALES REPORT of 3 months'!$F$2:$F1000,'SALES REPORT of 3 months'!$D$2:$D1000,I$4,'SALES REPORT of 3 months'!$E$2:$E1000,$B5)</f>
        <v>2</v>
      </c>
      <c r="J5" s="1">
        <f>SUMIFS('SALES REPORT of 3 months'!$F$2:$F1000,'SALES REPORT of 3 months'!$D$2:$D1000,J$4,'SALES REPORT of 3 months'!$E$2:$E1000,$B5)</f>
        <v>0</v>
      </c>
      <c r="K5" s="1">
        <f>SUMIFS('SALES REPORT of 3 months'!$F$2:$F1000,'SALES REPORT of 3 months'!$D$2:$D1000,K$4,'SALES REPORT of 3 months'!$E$2:$E1000,$B5)</f>
        <v>2</v>
      </c>
      <c r="L5" s="1">
        <f>SUMIFS('SALES REPORT of 3 months'!$F$2:$F1000,'SALES REPORT of 3 months'!$D$2:$D1000,L$4,'SALES REPORT of 3 months'!$E$2:$E1000,$B5)</f>
        <v>2</v>
      </c>
      <c r="M5" s="1">
        <f>SUMIFS('SALES REPORT of 3 months'!$F$2:$F1000,'SALES REPORT of 3 months'!$D$2:$D1000,M$4,'SALES REPORT of 3 months'!$E$2:$E1000,$B5)</f>
        <v>0</v>
      </c>
      <c r="N5" s="1">
        <f>SUMIFS('SALES REPORT of 3 months'!$F$2:$F1000,'SALES REPORT of 3 months'!$D$2:$D1000,N$4,'SALES REPORT of 3 months'!$E$2:$E1000,$B5)</f>
        <v>1</v>
      </c>
      <c r="O5" s="1">
        <f>SUMIFS('SALES REPORT of 3 months'!$F$2:$F1000,'SALES REPORT of 3 months'!$D$2:$D1000,O$4,'SALES REPORT of 3 months'!$E$2:$E1000,$B5)</f>
        <v>9</v>
      </c>
      <c r="P5" s="1">
        <f>SUMIFS('SALES REPORT of 3 months'!$F$2:$F1000,'SALES REPORT of 3 months'!$D$2:$D1000,P$4,'SALES REPORT of 3 months'!$E$2:$E1000,$B5)</f>
        <v>4</v>
      </c>
      <c r="Q5" s="1">
        <f>SUMIFS('SALES REPORT of 3 months'!$F$2:$F1000,'SALES REPORT of 3 months'!$D$2:$D1000,Q$4,'SALES REPORT of 3 months'!$E$2:$E1000,$B5)</f>
        <v>1</v>
      </c>
      <c r="R5" s="1">
        <f>SUMIFS('SALES REPORT of 3 months'!$F$2:$F1000,'SALES REPORT of 3 months'!$D$2:$D1000,R$4,'SALES REPORT of 3 months'!$E$2:$E1000,$B5)</f>
        <v>2</v>
      </c>
    </row>
    <row r="6">
      <c r="B6" s="1" t="s">
        <v>158</v>
      </c>
      <c r="C6" s="1">
        <f>SUMIFS('SALES REPORT of 3 months'!$F$2:$F1000,'SALES REPORT of 3 months'!$D$2:$D1000,C$4,'SALES REPORT of 3 months'!$E$2:$E1000,$B6)</f>
        <v>1</v>
      </c>
      <c r="D6" s="1">
        <f>SUMIFS('SALES REPORT of 3 months'!$F$2:$F1000,'SALES REPORT of 3 months'!$D$2:$D1000,D$4,'SALES REPORT of 3 months'!$E$2:$E1000,$B6)</f>
        <v>0</v>
      </c>
      <c r="E6" s="1">
        <f>SUMIFS('SALES REPORT of 3 months'!$F$2:$F1000,'SALES REPORT of 3 months'!$D$2:$D1000,E$4,'SALES REPORT of 3 months'!$E$2:$E1000,$B6)</f>
        <v>0</v>
      </c>
      <c r="F6" s="1">
        <f>SUMIFS('SALES REPORT of 3 months'!$F$2:$F1000,'SALES REPORT of 3 months'!$D$2:$D1000,F$4,'SALES REPORT of 3 months'!$E$2:$E1000,$B6)</f>
        <v>0</v>
      </c>
      <c r="G6" s="1">
        <f>SUMIFS('SALES REPORT of 3 months'!$F$2:$F1000,'SALES REPORT of 3 months'!$D$2:$D1000,G$4,'SALES REPORT of 3 months'!$E$2:$E1000,$B6)</f>
        <v>2</v>
      </c>
      <c r="H6" s="1">
        <f>SUMIFS('SALES REPORT of 3 months'!$F$2:$F1000,'SALES REPORT of 3 months'!$D$2:$D1000,H$4,'SALES REPORT of 3 months'!$E$2:$E1000,$B6)</f>
        <v>0</v>
      </c>
      <c r="I6" s="1">
        <f>SUMIFS('SALES REPORT of 3 months'!$F$2:$F1000,'SALES REPORT of 3 months'!$D$2:$D1000,I$4,'SALES REPORT of 3 months'!$E$2:$E1000,$B6)</f>
        <v>0</v>
      </c>
      <c r="J6" s="1">
        <f>SUMIFS('SALES REPORT of 3 months'!$F$2:$F1000,'SALES REPORT of 3 months'!$D$2:$D1000,J$4,'SALES REPORT of 3 months'!$E$2:$E1000,$B6)</f>
        <v>0</v>
      </c>
      <c r="K6" s="1">
        <f>SUMIFS('SALES REPORT of 3 months'!$F$2:$F1000,'SALES REPORT of 3 months'!$D$2:$D1000,K$4,'SALES REPORT of 3 months'!$E$2:$E1000,$B6)</f>
        <v>0</v>
      </c>
      <c r="L6" s="1">
        <f>SUMIFS('SALES REPORT of 3 months'!$F$2:$F1000,'SALES REPORT of 3 months'!$D$2:$D1000,L$4,'SALES REPORT of 3 months'!$E$2:$E1000,$B6)</f>
        <v>0</v>
      </c>
      <c r="M6" s="1">
        <f>SUMIFS('SALES REPORT of 3 months'!$F$2:$F1000,'SALES REPORT of 3 months'!$D$2:$D1000,M$4,'SALES REPORT of 3 months'!$E$2:$E1000,$B6)</f>
        <v>0</v>
      </c>
      <c r="N6" s="1">
        <f>SUMIFS('SALES REPORT of 3 months'!$F$2:$F1000,'SALES REPORT of 3 months'!$D$2:$D1000,N$4,'SALES REPORT of 3 months'!$E$2:$E1000,$B6)</f>
        <v>0</v>
      </c>
      <c r="O6" s="1">
        <f>SUMIFS('SALES REPORT of 3 months'!$F$2:$F1000,'SALES REPORT of 3 months'!$D$2:$D1000,O$4,'SALES REPORT of 3 months'!$E$2:$E1000,$B6)</f>
        <v>0</v>
      </c>
      <c r="P6" s="1">
        <f>SUMIFS('SALES REPORT of 3 months'!$F$2:$F1000,'SALES REPORT of 3 months'!$D$2:$D1000,P$4,'SALES REPORT of 3 months'!$E$2:$E1000,$B6)</f>
        <v>0</v>
      </c>
      <c r="Q6" s="1">
        <f>SUMIFS('SALES REPORT of 3 months'!$F$2:$F1000,'SALES REPORT of 3 months'!$D$2:$D1000,Q$4,'SALES REPORT of 3 months'!$E$2:$E1000,$B6)</f>
        <v>0</v>
      </c>
      <c r="R6" s="1">
        <f>SUMIFS('SALES REPORT of 3 months'!$F$2:$F1000,'SALES REPORT of 3 months'!$D$2:$D1000,R$4,'SALES REPORT of 3 months'!$E$2:$E1000,$B6)</f>
        <v>1</v>
      </c>
    </row>
    <row r="7">
      <c r="B7" s="9" t="s">
        <v>79</v>
      </c>
      <c r="C7" s="1">
        <f>SUMIFS('SALES REPORT of 3 months'!$F$2:$F1000,'SALES REPORT of 3 months'!$D$2:$D1000,C$4,'SALES REPORT of 3 months'!$E$2:$E1000,$B7)</f>
        <v>1</v>
      </c>
      <c r="D7" s="1">
        <f>SUMIFS('SALES REPORT of 3 months'!$F$2:$F1000,'SALES REPORT of 3 months'!$D$2:$D1000,D$4,'SALES REPORT of 3 months'!$E$2:$E1000,$B7)</f>
        <v>6</v>
      </c>
      <c r="E7" s="1">
        <f>SUMIFS('SALES REPORT of 3 months'!$F$2:$F1000,'SALES REPORT of 3 months'!$D$2:$D1000,E$4,'SALES REPORT of 3 months'!$E$2:$E1000,$B7)</f>
        <v>4</v>
      </c>
      <c r="F7" s="1">
        <f>SUMIFS('SALES REPORT of 3 months'!$F$2:$F1000,'SALES REPORT of 3 months'!$D$2:$D1000,F$4,'SALES REPORT of 3 months'!$E$2:$E1000,$B7)</f>
        <v>0</v>
      </c>
      <c r="G7" s="1">
        <f>SUMIFS('SALES REPORT of 3 months'!$F$2:$F1000,'SALES REPORT of 3 months'!$D$2:$D1000,G$4,'SALES REPORT of 3 months'!$E$2:$E1000,$B7)</f>
        <v>5</v>
      </c>
      <c r="H7" s="1">
        <f>SUMIFS('SALES REPORT of 3 months'!$F$2:$F1000,'SALES REPORT of 3 months'!$D$2:$D1000,H$4,'SALES REPORT of 3 months'!$E$2:$E1000,$B7)</f>
        <v>1</v>
      </c>
      <c r="I7" s="1">
        <f>SUMIFS('SALES REPORT of 3 months'!$F$2:$F1000,'SALES REPORT of 3 months'!$D$2:$D1000,I$4,'SALES REPORT of 3 months'!$E$2:$E1000,$B7)</f>
        <v>4</v>
      </c>
      <c r="J7" s="1">
        <f>SUMIFS('SALES REPORT of 3 months'!$F$2:$F1000,'SALES REPORT of 3 months'!$D$2:$D1000,J$4,'SALES REPORT of 3 months'!$E$2:$E1000,$B7)</f>
        <v>0</v>
      </c>
      <c r="K7" s="1">
        <f>SUMIFS('SALES REPORT of 3 months'!$F$2:$F1000,'SALES REPORT of 3 months'!$D$2:$D1000,K$4,'SALES REPORT of 3 months'!$E$2:$E1000,$B7)</f>
        <v>1</v>
      </c>
      <c r="L7" s="1">
        <f>SUMIFS('SALES REPORT of 3 months'!$F$2:$F1000,'SALES REPORT of 3 months'!$D$2:$D1000,L$4,'SALES REPORT of 3 months'!$E$2:$E1000,$B7)</f>
        <v>0</v>
      </c>
      <c r="M7" s="1">
        <f>SUMIFS('SALES REPORT of 3 months'!$F$2:$F1000,'SALES REPORT of 3 months'!$D$2:$D1000,M$4,'SALES REPORT of 3 months'!$E$2:$E1000,$B7)</f>
        <v>0</v>
      </c>
      <c r="N7" s="1">
        <f>SUMIFS('SALES REPORT of 3 months'!$F$2:$F1000,'SALES REPORT of 3 months'!$D$2:$D1000,N$4,'SALES REPORT of 3 months'!$E$2:$E1000,$B7)</f>
        <v>3</v>
      </c>
      <c r="O7" s="1">
        <f>SUMIFS('SALES REPORT of 3 months'!$F$2:$F1000,'SALES REPORT of 3 months'!$D$2:$D1000,O$4,'SALES REPORT of 3 months'!$E$2:$E1000,$B7)</f>
        <v>2</v>
      </c>
      <c r="P7" s="1">
        <f>SUMIFS('SALES REPORT of 3 months'!$F$2:$F1000,'SALES REPORT of 3 months'!$D$2:$D1000,P$4,'SALES REPORT of 3 months'!$E$2:$E1000,$B7)</f>
        <v>0</v>
      </c>
      <c r="Q7" s="1">
        <f>SUMIFS('SALES REPORT of 3 months'!$F$2:$F1000,'SALES REPORT of 3 months'!$D$2:$D1000,Q$4,'SALES REPORT of 3 months'!$E$2:$E1000,$B7)</f>
        <v>0</v>
      </c>
      <c r="R7" s="1">
        <f>SUMIFS('SALES REPORT of 3 months'!$F$2:$F1000,'SALES REPORT of 3 months'!$D$2:$D1000,R$4,'SALES REPORT of 3 months'!$E$2:$E1000,$B7)</f>
        <v>1</v>
      </c>
    </row>
    <row r="8">
      <c r="B8" s="1" t="s">
        <v>215</v>
      </c>
      <c r="C8" s="1">
        <f>SUMIFS('SALES REPORT of 3 months'!$F$2:$F1000,'SALES REPORT of 3 months'!$D$2:$D1000,C$4,'SALES REPORT of 3 months'!$E$2:$E1000,$B8)</f>
        <v>1</v>
      </c>
      <c r="D8" s="1">
        <f>SUMIFS('SALES REPORT of 3 months'!$F$2:$F1000,'SALES REPORT of 3 months'!$D$2:$D1000,D$4,'SALES REPORT of 3 months'!$E$2:$E1000,$B8)</f>
        <v>1</v>
      </c>
      <c r="E8" s="1">
        <f>SUMIFS('SALES REPORT of 3 months'!$F$2:$F1000,'SALES REPORT of 3 months'!$D$2:$D1000,E$4,'SALES REPORT of 3 months'!$E$2:$E1000,$B8)</f>
        <v>0</v>
      </c>
      <c r="F8" s="1">
        <f>SUMIFS('SALES REPORT of 3 months'!$F$2:$F1000,'SALES REPORT of 3 months'!$D$2:$D1000,F$4,'SALES REPORT of 3 months'!$E$2:$E1000,$B8)</f>
        <v>0</v>
      </c>
      <c r="G8" s="1">
        <f>SUMIFS('SALES REPORT of 3 months'!$F$2:$F1000,'SALES REPORT of 3 months'!$D$2:$D1000,G$4,'SALES REPORT of 3 months'!$E$2:$E1000,$B8)</f>
        <v>2</v>
      </c>
      <c r="H8" s="1">
        <f>SUMIFS('SALES REPORT of 3 months'!$F$2:$F1000,'SALES REPORT of 3 months'!$D$2:$D1000,H$4,'SALES REPORT of 3 months'!$E$2:$E1000,$B8)</f>
        <v>3</v>
      </c>
      <c r="I8" s="1">
        <f>SUMIFS('SALES REPORT of 3 months'!$F$2:$F1000,'SALES REPORT of 3 months'!$D$2:$D1000,I$4,'SALES REPORT of 3 months'!$E$2:$E1000,$B8)</f>
        <v>3</v>
      </c>
      <c r="J8" s="1">
        <f>SUMIFS('SALES REPORT of 3 months'!$F$2:$F1000,'SALES REPORT of 3 months'!$D$2:$D1000,J$4,'SALES REPORT of 3 months'!$E$2:$E1000,$B8)</f>
        <v>4</v>
      </c>
      <c r="K8" s="1">
        <f>SUMIFS('SALES REPORT of 3 months'!$F$2:$F1000,'SALES REPORT of 3 months'!$D$2:$D1000,K$4,'SALES REPORT of 3 months'!$E$2:$E1000,$B8)</f>
        <v>0</v>
      </c>
      <c r="L8" s="1">
        <f>SUMIFS('SALES REPORT of 3 months'!$F$2:$F1000,'SALES REPORT of 3 months'!$D$2:$D1000,L$4,'SALES REPORT of 3 months'!$E$2:$E1000,$B8)</f>
        <v>0</v>
      </c>
      <c r="M8" s="1">
        <f>SUMIFS('SALES REPORT of 3 months'!$F$2:$F1000,'SALES REPORT of 3 months'!$D$2:$D1000,M$4,'SALES REPORT of 3 months'!$E$2:$E1000,$B8)</f>
        <v>0</v>
      </c>
      <c r="N8" s="1">
        <f>SUMIFS('SALES REPORT of 3 months'!$F$2:$F1000,'SALES REPORT of 3 months'!$D$2:$D1000,N$4,'SALES REPORT of 3 months'!$E$2:$E1000,$B8)</f>
        <v>0</v>
      </c>
      <c r="O8" s="1">
        <f>SUMIFS('SALES REPORT of 3 months'!$F$2:$F1000,'SALES REPORT of 3 months'!$D$2:$D1000,O$4,'SALES REPORT of 3 months'!$E$2:$E1000,$B8)</f>
        <v>1</v>
      </c>
      <c r="P8" s="1">
        <f>SUMIFS('SALES REPORT of 3 months'!$F$2:$F1000,'SALES REPORT of 3 months'!$D$2:$D1000,P$4,'SALES REPORT of 3 months'!$E$2:$E1000,$B8)</f>
        <v>0</v>
      </c>
      <c r="Q8" s="1">
        <f>SUMIFS('SALES REPORT of 3 months'!$F$2:$F1000,'SALES REPORT of 3 months'!$D$2:$D1000,Q$4,'SALES REPORT of 3 months'!$E$2:$E1000,$B8)</f>
        <v>0</v>
      </c>
      <c r="R8" s="1">
        <f>SUMIFS('SALES REPORT of 3 months'!$F$2:$F1000,'SALES REPORT of 3 months'!$D$2:$D1000,R$4,'SALES REPORT of 3 months'!$E$2:$E1000,$B8)</f>
        <v>1</v>
      </c>
    </row>
    <row r="9">
      <c r="B9" s="9" t="s">
        <v>80</v>
      </c>
      <c r="C9" s="1">
        <f>SUMIFS('SALES REPORT of 3 months'!$F$2:$F1000,'SALES REPORT of 3 months'!$D$2:$D1000,C$4,'SALES REPORT of 3 months'!$E$2:$E1000,$B9)</f>
        <v>0</v>
      </c>
      <c r="D9" s="1">
        <f>SUMIFS('SALES REPORT of 3 months'!$F$2:$F1000,'SALES REPORT of 3 months'!$D$2:$D1000,D$4,'SALES REPORT of 3 months'!$E$2:$E1000,$B9)</f>
        <v>10</v>
      </c>
      <c r="E9" s="1">
        <f>SUMIFS('SALES REPORT of 3 months'!$F$2:$F1000,'SALES REPORT of 3 months'!$D$2:$D1000,E$4,'SALES REPORT of 3 months'!$E$2:$E1000,$B9)</f>
        <v>1</v>
      </c>
      <c r="F9" s="1">
        <f>SUMIFS('SALES REPORT of 3 months'!$F$2:$F1000,'SALES REPORT of 3 months'!$D$2:$D1000,F$4,'SALES REPORT of 3 months'!$E$2:$E1000,$B9)</f>
        <v>0</v>
      </c>
      <c r="G9" s="1">
        <f>SUMIFS('SALES REPORT of 3 months'!$F$2:$F1000,'SALES REPORT of 3 months'!$D$2:$D1000,G$4,'SALES REPORT of 3 months'!$E$2:$E1000,$B9)</f>
        <v>7</v>
      </c>
      <c r="H9" s="1">
        <f>SUMIFS('SALES REPORT of 3 months'!$F$2:$F1000,'SALES REPORT of 3 months'!$D$2:$D1000,H$4,'SALES REPORT of 3 months'!$E$2:$E1000,$B9)</f>
        <v>0</v>
      </c>
      <c r="I9" s="1">
        <f>SUMIFS('SALES REPORT of 3 months'!$F$2:$F1000,'SALES REPORT of 3 months'!$D$2:$D1000,I$4,'SALES REPORT of 3 months'!$E$2:$E1000,$B9)</f>
        <v>0</v>
      </c>
      <c r="J9" s="1">
        <f>SUMIFS('SALES REPORT of 3 months'!$F$2:$F1000,'SALES REPORT of 3 months'!$D$2:$D1000,J$4,'SALES REPORT of 3 months'!$E$2:$E1000,$B9)</f>
        <v>0</v>
      </c>
      <c r="K9" s="1">
        <f>SUMIFS('SALES REPORT of 3 months'!$F$2:$F1000,'SALES REPORT of 3 months'!$D$2:$D1000,K$4,'SALES REPORT of 3 months'!$E$2:$E1000,$B9)</f>
        <v>0</v>
      </c>
      <c r="L9" s="1">
        <f>SUMIFS('SALES REPORT of 3 months'!$F$2:$F1000,'SALES REPORT of 3 months'!$D$2:$D1000,L$4,'SALES REPORT of 3 months'!$E$2:$E1000,$B9)</f>
        <v>0</v>
      </c>
      <c r="M9" s="1">
        <f>SUMIFS('SALES REPORT of 3 months'!$F$2:$F1000,'SALES REPORT of 3 months'!$D$2:$D1000,M$4,'SALES REPORT of 3 months'!$E$2:$E1000,$B9)</f>
        <v>0</v>
      </c>
      <c r="N9" s="1">
        <f>SUMIFS('SALES REPORT of 3 months'!$F$2:$F1000,'SALES REPORT of 3 months'!$D$2:$D1000,N$4,'SALES REPORT of 3 months'!$E$2:$E1000,$B9)</f>
        <v>0</v>
      </c>
      <c r="O9" s="1">
        <f>SUMIFS('SALES REPORT of 3 months'!$F$2:$F1000,'SALES REPORT of 3 months'!$D$2:$D1000,O$4,'SALES REPORT of 3 months'!$E$2:$E1000,$B9)</f>
        <v>3</v>
      </c>
      <c r="P9" s="1">
        <f>SUMIFS('SALES REPORT of 3 months'!$F$2:$F1000,'SALES REPORT of 3 months'!$D$2:$D1000,P$4,'SALES REPORT of 3 months'!$E$2:$E1000,$B9)</f>
        <v>0</v>
      </c>
      <c r="Q9" s="1">
        <f>SUMIFS('SALES REPORT of 3 months'!$F$2:$F1000,'SALES REPORT of 3 months'!$D$2:$D1000,Q$4,'SALES REPORT of 3 months'!$E$2:$E1000,$B9)</f>
        <v>0</v>
      </c>
      <c r="R9" s="1">
        <f>SUMIFS('SALES REPORT of 3 months'!$F$2:$F1000,'SALES REPORT of 3 months'!$D$2:$D1000,R$4,'SALES REPORT of 3 months'!$E$2:$E1000,$B9)</f>
        <v>1</v>
      </c>
    </row>
    <row r="10">
      <c r="B10" s="9" t="s">
        <v>175</v>
      </c>
      <c r="C10" s="1">
        <f>SUMIFS('SALES REPORT of 3 months'!$F$2:$F1000,'SALES REPORT of 3 months'!$D$2:$D1000,C$4,'SALES REPORT of 3 months'!$E$2:$E1000,$B10)</f>
        <v>0</v>
      </c>
      <c r="D10" s="1">
        <f>SUMIFS('SALES REPORT of 3 months'!$F$2:$F1000,'SALES REPORT of 3 months'!$D$2:$D1000,D$4,'SALES REPORT of 3 months'!$E$2:$E1000,$B10)</f>
        <v>2</v>
      </c>
      <c r="E10" s="1">
        <f>SUMIFS('SALES REPORT of 3 months'!$F$2:$F1000,'SALES REPORT of 3 months'!$D$2:$D1000,E$4,'SALES REPORT of 3 months'!$E$2:$E1000,$B10)</f>
        <v>1</v>
      </c>
      <c r="F10" s="1">
        <f>SUMIFS('SALES REPORT of 3 months'!$F$2:$F1000,'SALES REPORT of 3 months'!$D$2:$D1000,F$4,'SALES REPORT of 3 months'!$E$2:$E1000,$B10)</f>
        <v>0</v>
      </c>
      <c r="G10" s="1">
        <f>SUMIFS('SALES REPORT of 3 months'!$F$2:$F1000,'SALES REPORT of 3 months'!$D$2:$D1000,G$4,'SALES REPORT of 3 months'!$E$2:$E1000,$B10)</f>
        <v>3</v>
      </c>
      <c r="H10" s="1">
        <f>SUMIFS('SALES REPORT of 3 months'!$F$2:$F1000,'SALES REPORT of 3 months'!$D$2:$D1000,H$4,'SALES REPORT of 3 months'!$E$2:$E1000,$B10)</f>
        <v>0</v>
      </c>
      <c r="I10" s="1">
        <f>SUMIFS('SALES REPORT of 3 months'!$F$2:$F1000,'SALES REPORT of 3 months'!$D$2:$D1000,I$4,'SALES REPORT of 3 months'!$E$2:$E1000,$B10)</f>
        <v>0</v>
      </c>
      <c r="J10" s="1">
        <f>SUMIFS('SALES REPORT of 3 months'!$F$2:$F1000,'SALES REPORT of 3 months'!$D$2:$D1000,J$4,'SALES REPORT of 3 months'!$E$2:$E1000,$B10)</f>
        <v>0</v>
      </c>
      <c r="K10" s="1">
        <f>SUMIFS('SALES REPORT of 3 months'!$F$2:$F1000,'SALES REPORT of 3 months'!$D$2:$D1000,K$4,'SALES REPORT of 3 months'!$E$2:$E1000,$B10)</f>
        <v>0</v>
      </c>
      <c r="L10" s="1">
        <f>SUMIFS('SALES REPORT of 3 months'!$F$2:$F1000,'SALES REPORT of 3 months'!$D$2:$D1000,L$4,'SALES REPORT of 3 months'!$E$2:$E1000,$B10)</f>
        <v>0</v>
      </c>
      <c r="M10" s="1">
        <f>SUMIFS('SALES REPORT of 3 months'!$F$2:$F1000,'SALES REPORT of 3 months'!$D$2:$D1000,M$4,'SALES REPORT of 3 months'!$E$2:$E1000,$B10)</f>
        <v>0</v>
      </c>
      <c r="N10" s="1">
        <f>SUMIFS('SALES REPORT of 3 months'!$F$2:$F1000,'SALES REPORT of 3 months'!$D$2:$D1000,N$4,'SALES REPORT of 3 months'!$E$2:$E1000,$B10)</f>
        <v>0</v>
      </c>
      <c r="O10" s="1">
        <f>SUMIFS('SALES REPORT of 3 months'!$F$2:$F1000,'SALES REPORT of 3 months'!$D$2:$D1000,O$4,'SALES REPORT of 3 months'!$E$2:$E1000,$B10)</f>
        <v>0</v>
      </c>
      <c r="P10" s="1">
        <f>SUMIFS('SALES REPORT of 3 months'!$F$2:$F1000,'SALES REPORT of 3 months'!$D$2:$D1000,P$4,'SALES REPORT of 3 months'!$E$2:$E1000,$B10)</f>
        <v>0</v>
      </c>
      <c r="Q10" s="1">
        <f>SUMIFS('SALES REPORT of 3 months'!$F$2:$F1000,'SALES REPORT of 3 months'!$D$2:$D1000,Q$4,'SALES REPORT of 3 months'!$E$2:$E1000,$B10)</f>
        <v>0</v>
      </c>
      <c r="R10" s="1">
        <f>SUMIFS('SALES REPORT of 3 months'!$F$2:$F1000,'SALES REPORT of 3 months'!$D$2:$D1000,R$4,'SALES REPORT of 3 months'!$E$2:$E1000,$B10)</f>
        <v>0</v>
      </c>
    </row>
    <row r="11">
      <c r="B11" s="9" t="s">
        <v>180</v>
      </c>
      <c r="C11" s="1">
        <f>SUMIFS('SALES REPORT of 3 months'!$F$2:$F1000,'SALES REPORT of 3 months'!$D$2:$D1000,C$4,'SALES REPORT of 3 months'!$E$2:$E1000,$B11)</f>
        <v>0</v>
      </c>
      <c r="D11" s="1">
        <f>SUMIFS('SALES REPORT of 3 months'!$F$2:$F1000,'SALES REPORT of 3 months'!$D$2:$D1000,D$4,'SALES REPORT of 3 months'!$E$2:$E1000,$B11)</f>
        <v>1</v>
      </c>
      <c r="E11" s="1">
        <f>SUMIFS('SALES REPORT of 3 months'!$F$2:$F1000,'SALES REPORT of 3 months'!$D$2:$D1000,E$4,'SALES REPORT of 3 months'!$E$2:$E1000,$B11)</f>
        <v>0</v>
      </c>
      <c r="F11" s="1">
        <f>SUMIFS('SALES REPORT of 3 months'!$F$2:$F1000,'SALES REPORT of 3 months'!$D$2:$D1000,F$4,'SALES REPORT of 3 months'!$E$2:$E1000,$B11)</f>
        <v>0</v>
      </c>
      <c r="G11" s="1">
        <f>SUMIFS('SALES REPORT of 3 months'!$F$2:$F1000,'SALES REPORT of 3 months'!$D$2:$D1000,G$4,'SALES REPORT of 3 months'!$E$2:$E1000,$B11)</f>
        <v>0</v>
      </c>
      <c r="H11" s="1">
        <f>SUMIFS('SALES REPORT of 3 months'!$F$2:$F1000,'SALES REPORT of 3 months'!$D$2:$D1000,H$4,'SALES REPORT of 3 months'!$E$2:$E1000,$B11)</f>
        <v>0</v>
      </c>
      <c r="I11" s="1">
        <f>SUMIFS('SALES REPORT of 3 months'!$F$2:$F1000,'SALES REPORT of 3 months'!$D$2:$D1000,I$4,'SALES REPORT of 3 months'!$E$2:$E1000,$B11)</f>
        <v>1</v>
      </c>
      <c r="J11" s="1">
        <f>SUMIFS('SALES REPORT of 3 months'!$F$2:$F1000,'SALES REPORT of 3 months'!$D$2:$D1000,J$4,'SALES REPORT of 3 months'!$E$2:$E1000,$B11)</f>
        <v>0</v>
      </c>
      <c r="K11" s="1">
        <f>SUMIFS('SALES REPORT of 3 months'!$F$2:$F1000,'SALES REPORT of 3 months'!$D$2:$D1000,K$4,'SALES REPORT of 3 months'!$E$2:$E1000,$B11)</f>
        <v>0</v>
      </c>
      <c r="L11" s="1">
        <f>SUMIFS('SALES REPORT of 3 months'!$F$2:$F1000,'SALES REPORT of 3 months'!$D$2:$D1000,L$4,'SALES REPORT of 3 months'!$E$2:$E1000,$B11)</f>
        <v>0</v>
      </c>
      <c r="M11" s="1">
        <f>SUMIFS('SALES REPORT of 3 months'!$F$2:$F1000,'SALES REPORT of 3 months'!$D$2:$D1000,M$4,'SALES REPORT of 3 months'!$E$2:$E1000,$B11)</f>
        <v>0</v>
      </c>
      <c r="N11" s="1">
        <f>SUMIFS('SALES REPORT of 3 months'!$F$2:$F1000,'SALES REPORT of 3 months'!$D$2:$D1000,N$4,'SALES REPORT of 3 months'!$E$2:$E1000,$B11)</f>
        <v>0</v>
      </c>
      <c r="O11" s="1">
        <f>SUMIFS('SALES REPORT of 3 months'!$F$2:$F1000,'SALES REPORT of 3 months'!$D$2:$D1000,O$4,'SALES REPORT of 3 months'!$E$2:$E1000,$B11)</f>
        <v>1</v>
      </c>
      <c r="P11" s="1">
        <f>SUMIFS('SALES REPORT of 3 months'!$F$2:$F1000,'SALES REPORT of 3 months'!$D$2:$D1000,P$4,'SALES REPORT of 3 months'!$E$2:$E1000,$B11)</f>
        <v>0</v>
      </c>
      <c r="Q11" s="1">
        <f>SUMIFS('SALES REPORT of 3 months'!$F$2:$F1000,'SALES REPORT of 3 months'!$D$2:$D1000,Q$4,'SALES REPORT of 3 months'!$E$2:$E1000,$B11)</f>
        <v>0</v>
      </c>
      <c r="R11" s="1">
        <f>SUMIFS('SALES REPORT of 3 months'!$F$2:$F1000,'SALES REPORT of 3 months'!$D$2:$D1000,R$4,'SALES REPORT of 3 months'!$E$2:$E1000,$B11)</f>
        <v>0</v>
      </c>
    </row>
    <row r="12">
      <c r="B12" s="1" t="s">
        <v>98</v>
      </c>
      <c r="C12" s="1">
        <f>SUMIFS('SALES REPORT of 3 months'!$F$2:$F1000,'SALES REPORT of 3 months'!$D$2:$D1000,C$4,'SALES REPORT of 3 months'!$E$2:$E1000,$B12)</f>
        <v>0</v>
      </c>
      <c r="D12" s="1">
        <f>SUMIFS('SALES REPORT of 3 months'!$F$2:$F1000,'SALES REPORT of 3 months'!$D$2:$D1000,D$4,'SALES REPORT of 3 months'!$E$2:$E1000,$B12)</f>
        <v>6</v>
      </c>
      <c r="E12" s="1">
        <f>SUMIFS('SALES REPORT of 3 months'!$F$2:$F1000,'SALES REPORT of 3 months'!$D$2:$D1000,E$4,'SALES REPORT of 3 months'!$E$2:$E1000,$B12)</f>
        <v>1</v>
      </c>
      <c r="F12" s="1">
        <f>SUMIFS('SALES REPORT of 3 months'!$F$2:$F1000,'SALES REPORT of 3 months'!$D$2:$D1000,F$4,'SALES REPORT of 3 months'!$E$2:$E1000,$B12)</f>
        <v>0</v>
      </c>
      <c r="G12" s="1">
        <f>SUMIFS('SALES REPORT of 3 months'!$F$2:$F1000,'SALES REPORT of 3 months'!$D$2:$D1000,G$4,'SALES REPORT of 3 months'!$E$2:$E1000,$B12)</f>
        <v>6</v>
      </c>
      <c r="H12" s="1">
        <f>SUMIFS('SALES REPORT of 3 months'!$F$2:$F1000,'SALES REPORT of 3 months'!$D$2:$D1000,H$4,'SALES REPORT of 3 months'!$E$2:$E1000,$B12)</f>
        <v>1</v>
      </c>
      <c r="I12" s="1">
        <f>SUMIFS('SALES REPORT of 3 months'!$F$2:$F1000,'SALES REPORT of 3 months'!$D$2:$D1000,I$4,'SALES REPORT of 3 months'!$E$2:$E1000,$B12)</f>
        <v>4</v>
      </c>
      <c r="J12" s="1">
        <f>SUMIFS('SALES REPORT of 3 months'!$F$2:$F1000,'SALES REPORT of 3 months'!$D$2:$D1000,J$4,'SALES REPORT of 3 months'!$E$2:$E1000,$B12)</f>
        <v>2</v>
      </c>
      <c r="K12" s="1">
        <f>SUMIFS('SALES REPORT of 3 months'!$F$2:$F1000,'SALES REPORT of 3 months'!$D$2:$D1000,K$4,'SALES REPORT of 3 months'!$E$2:$E1000,$B12)</f>
        <v>0</v>
      </c>
      <c r="L12" s="1">
        <f>SUMIFS('SALES REPORT of 3 months'!$F$2:$F1000,'SALES REPORT of 3 months'!$D$2:$D1000,L$4,'SALES REPORT of 3 months'!$E$2:$E1000,$B12)</f>
        <v>0</v>
      </c>
      <c r="M12" s="1">
        <f>SUMIFS('SALES REPORT of 3 months'!$F$2:$F1000,'SALES REPORT of 3 months'!$D$2:$D1000,M$4,'SALES REPORT of 3 months'!$E$2:$E1000,$B12)</f>
        <v>0</v>
      </c>
      <c r="N12" s="1">
        <f>SUMIFS('SALES REPORT of 3 months'!$F$2:$F1000,'SALES REPORT of 3 months'!$D$2:$D1000,N$4,'SALES REPORT of 3 months'!$E$2:$E1000,$B12)</f>
        <v>1</v>
      </c>
      <c r="O12" s="1">
        <f>SUMIFS('SALES REPORT of 3 months'!$F$2:$F1000,'SALES REPORT of 3 months'!$D$2:$D1000,O$4,'SALES REPORT of 3 months'!$E$2:$E1000,$B12)</f>
        <v>0</v>
      </c>
      <c r="P12" s="1">
        <f>SUMIFS('SALES REPORT of 3 months'!$F$2:$F1000,'SALES REPORT of 3 months'!$D$2:$D1000,P$4,'SALES REPORT of 3 months'!$E$2:$E1000,$B12)</f>
        <v>0</v>
      </c>
      <c r="Q12" s="1">
        <f>SUMIFS('SALES REPORT of 3 months'!$F$2:$F1000,'SALES REPORT of 3 months'!$D$2:$D1000,Q$4,'SALES REPORT of 3 months'!$E$2:$E1000,$B12)</f>
        <v>0</v>
      </c>
      <c r="R12" s="1">
        <f>SUMIFS('SALES REPORT of 3 months'!$F$2:$F1000,'SALES REPORT of 3 months'!$D$2:$D1000,R$4,'SALES REPORT of 3 months'!$E$2:$E1000,$B12)</f>
        <v>0</v>
      </c>
    </row>
    <row r="13">
      <c r="B13" s="9" t="s">
        <v>68</v>
      </c>
      <c r="C13" s="1">
        <f>SUMIFS('SALES REPORT of 3 months'!$F$2:$F1000,'SALES REPORT of 3 months'!$D$2:$D1000,C$4,'SALES REPORT of 3 months'!$E$2:$E1000,$B13)</f>
        <v>0</v>
      </c>
      <c r="D13" s="1">
        <f>SUMIFS('SALES REPORT of 3 months'!$F$2:$F1000,'SALES REPORT of 3 months'!$D$2:$D1000,D$4,'SALES REPORT of 3 months'!$E$2:$E1000,$B13)</f>
        <v>13</v>
      </c>
      <c r="E13" s="1">
        <f>SUMIFS('SALES REPORT of 3 months'!$F$2:$F1000,'SALES REPORT of 3 months'!$D$2:$D1000,E$4,'SALES REPORT of 3 months'!$E$2:$E1000,$B13)</f>
        <v>4</v>
      </c>
      <c r="F13" s="1">
        <f>SUMIFS('SALES REPORT of 3 months'!$F$2:$F1000,'SALES REPORT of 3 months'!$D$2:$D1000,F$4,'SALES REPORT of 3 months'!$E$2:$E1000,$B13)</f>
        <v>0</v>
      </c>
      <c r="G13" s="1">
        <f>SUMIFS('SALES REPORT of 3 months'!$F$2:$F1000,'SALES REPORT of 3 months'!$D$2:$D1000,G$4,'SALES REPORT of 3 months'!$E$2:$E1000,$B13)</f>
        <v>15</v>
      </c>
      <c r="H13" s="1">
        <f>SUMIFS('SALES REPORT of 3 months'!$F$2:$F1000,'SALES REPORT of 3 months'!$D$2:$D1000,H$4,'SALES REPORT of 3 months'!$E$2:$E1000,$B13)</f>
        <v>2</v>
      </c>
      <c r="I13" s="1">
        <f>SUMIFS('SALES REPORT of 3 months'!$F$2:$F1000,'SALES REPORT of 3 months'!$D$2:$D1000,I$4,'SALES REPORT of 3 months'!$E$2:$E1000,$B13)</f>
        <v>8</v>
      </c>
      <c r="J13" s="1">
        <f>SUMIFS('SALES REPORT of 3 months'!$F$2:$F1000,'SALES REPORT of 3 months'!$D$2:$D1000,J$4,'SALES REPORT of 3 months'!$E$2:$E1000,$B13)</f>
        <v>0</v>
      </c>
      <c r="K13" s="1">
        <f>SUMIFS('SALES REPORT of 3 months'!$F$2:$F1000,'SALES REPORT of 3 months'!$D$2:$D1000,K$4,'SALES REPORT of 3 months'!$E$2:$E1000,$B13)</f>
        <v>0</v>
      </c>
      <c r="L13" s="1">
        <f>SUMIFS('SALES REPORT of 3 months'!$F$2:$F1000,'SALES REPORT of 3 months'!$D$2:$D1000,L$4,'SALES REPORT of 3 months'!$E$2:$E1000,$B13)</f>
        <v>4</v>
      </c>
      <c r="M13" s="1">
        <f>SUMIFS('SALES REPORT of 3 months'!$F$2:$F1000,'SALES REPORT of 3 months'!$D$2:$D1000,M$4,'SALES REPORT of 3 months'!$E$2:$E1000,$B13)</f>
        <v>0</v>
      </c>
      <c r="N13" s="1">
        <f>SUMIFS('SALES REPORT of 3 months'!$F$2:$F1000,'SALES REPORT of 3 months'!$D$2:$D1000,N$4,'SALES REPORT of 3 months'!$E$2:$E1000,$B13)</f>
        <v>0</v>
      </c>
      <c r="O13" s="1">
        <f>SUMIFS('SALES REPORT of 3 months'!$F$2:$F1000,'SALES REPORT of 3 months'!$D$2:$D1000,O$4,'SALES REPORT of 3 months'!$E$2:$E1000,$B13)</f>
        <v>2</v>
      </c>
      <c r="P13" s="1">
        <f>SUMIFS('SALES REPORT of 3 months'!$F$2:$F1000,'SALES REPORT of 3 months'!$D$2:$D1000,P$4,'SALES REPORT of 3 months'!$E$2:$E1000,$B13)</f>
        <v>0</v>
      </c>
      <c r="Q13" s="1">
        <f>SUMIFS('SALES REPORT of 3 months'!$F$2:$F1000,'SALES REPORT of 3 months'!$D$2:$D1000,Q$4,'SALES REPORT of 3 months'!$E$2:$E1000,$B13)</f>
        <v>4</v>
      </c>
      <c r="R13" s="1">
        <f>SUMIFS('SALES REPORT of 3 months'!$F$2:$F1000,'SALES REPORT of 3 months'!$D$2:$D1000,R$4,'SALES REPORT of 3 months'!$E$2:$E1000,$B13)</f>
        <v>1</v>
      </c>
    </row>
    <row r="14">
      <c r="B14" s="9" t="s">
        <v>176</v>
      </c>
      <c r="C14" s="1">
        <f>SUMIFS('SALES REPORT of 3 months'!$F$2:$F1000,'SALES REPORT of 3 months'!$D$2:$D1000,C$4,'SALES REPORT of 3 months'!$E$2:$E1000,$B14)</f>
        <v>0</v>
      </c>
      <c r="D14" s="1">
        <f>SUMIFS('SALES REPORT of 3 months'!$F$2:$F1000,'SALES REPORT of 3 months'!$D$2:$D1000,D$4,'SALES REPORT of 3 months'!$E$2:$E1000,$B14)</f>
        <v>0</v>
      </c>
      <c r="E14" s="1">
        <f>SUMIFS('SALES REPORT of 3 months'!$F$2:$F1000,'SALES REPORT of 3 months'!$D$2:$D1000,E$4,'SALES REPORT of 3 months'!$E$2:$E1000,$B14)</f>
        <v>0</v>
      </c>
      <c r="F14" s="1">
        <f>SUMIFS('SALES REPORT of 3 months'!$F$2:$F1000,'SALES REPORT of 3 months'!$D$2:$D1000,F$4,'SALES REPORT of 3 months'!$E$2:$E1000,$B14)</f>
        <v>0</v>
      </c>
      <c r="G14" s="1">
        <f>SUMIFS('SALES REPORT of 3 months'!$F$2:$F1000,'SALES REPORT of 3 months'!$D$2:$D1000,G$4,'SALES REPORT of 3 months'!$E$2:$E1000,$B14)</f>
        <v>1</v>
      </c>
      <c r="H14" s="1">
        <f>SUMIFS('SALES REPORT of 3 months'!$F$2:$F1000,'SALES REPORT of 3 months'!$D$2:$D1000,H$4,'SALES REPORT of 3 months'!$E$2:$E1000,$B14)</f>
        <v>1</v>
      </c>
      <c r="I14" s="1">
        <f>SUMIFS('SALES REPORT of 3 months'!$F$2:$F1000,'SALES REPORT of 3 months'!$D$2:$D1000,I$4,'SALES REPORT of 3 months'!$E$2:$E1000,$B14)</f>
        <v>3</v>
      </c>
      <c r="J14" s="1">
        <f>SUMIFS('SALES REPORT of 3 months'!$F$2:$F1000,'SALES REPORT of 3 months'!$D$2:$D1000,J$4,'SALES REPORT of 3 months'!$E$2:$E1000,$B14)</f>
        <v>2</v>
      </c>
      <c r="K14" s="1">
        <f>SUMIFS('SALES REPORT of 3 months'!$F$2:$F1000,'SALES REPORT of 3 months'!$D$2:$D1000,K$4,'SALES REPORT of 3 months'!$E$2:$E1000,$B14)</f>
        <v>0</v>
      </c>
      <c r="L14" s="1">
        <f>SUMIFS('SALES REPORT of 3 months'!$F$2:$F1000,'SALES REPORT of 3 months'!$D$2:$D1000,L$4,'SALES REPORT of 3 months'!$E$2:$E1000,$B14)</f>
        <v>0</v>
      </c>
      <c r="M14" s="1">
        <f>SUMIFS('SALES REPORT of 3 months'!$F$2:$F1000,'SALES REPORT of 3 months'!$D$2:$D1000,M$4,'SALES REPORT of 3 months'!$E$2:$E1000,$B14)</f>
        <v>0</v>
      </c>
      <c r="N14" s="1">
        <f>SUMIFS('SALES REPORT of 3 months'!$F$2:$F1000,'SALES REPORT of 3 months'!$D$2:$D1000,N$4,'SALES REPORT of 3 months'!$E$2:$E1000,$B14)</f>
        <v>0</v>
      </c>
      <c r="O14" s="1">
        <f>SUMIFS('SALES REPORT of 3 months'!$F$2:$F1000,'SALES REPORT of 3 months'!$D$2:$D1000,O$4,'SALES REPORT of 3 months'!$E$2:$E1000,$B14)</f>
        <v>0</v>
      </c>
      <c r="P14" s="1">
        <f>SUMIFS('SALES REPORT of 3 months'!$F$2:$F1000,'SALES REPORT of 3 months'!$D$2:$D1000,P$4,'SALES REPORT of 3 months'!$E$2:$E1000,$B14)</f>
        <v>0</v>
      </c>
      <c r="Q14" s="1">
        <f>SUMIFS('SALES REPORT of 3 months'!$F$2:$F1000,'SALES REPORT of 3 months'!$D$2:$D1000,Q$4,'SALES REPORT of 3 months'!$E$2:$E1000,$B14)</f>
        <v>0</v>
      </c>
      <c r="R14" s="1">
        <f>SUMIFS('SALES REPORT of 3 months'!$F$2:$F1000,'SALES REPORT of 3 months'!$D$2:$D1000,R$4,'SALES REPORT of 3 months'!$E$2:$E1000,$B14)</f>
        <v>0</v>
      </c>
    </row>
    <row r="15">
      <c r="B15" s="9" t="s">
        <v>78</v>
      </c>
      <c r="C15" s="1">
        <f>SUMIFS('SALES REPORT of 3 months'!$F$2:$F1000,'SALES REPORT of 3 months'!$D$2:$D1000,C$4,'SALES REPORT of 3 months'!$E$2:$E1000,$B15)</f>
        <v>0</v>
      </c>
      <c r="D15" s="1">
        <f>SUMIFS('SALES REPORT of 3 months'!$F$2:$F1000,'SALES REPORT of 3 months'!$D$2:$D1000,D$4,'SALES REPORT of 3 months'!$E$2:$E1000,$B15)</f>
        <v>3</v>
      </c>
      <c r="E15" s="1">
        <f>SUMIFS('SALES REPORT of 3 months'!$F$2:$F1000,'SALES REPORT of 3 months'!$D$2:$D1000,E$4,'SALES REPORT of 3 months'!$E$2:$E1000,$B15)</f>
        <v>0</v>
      </c>
      <c r="F15" s="1">
        <f>SUMIFS('SALES REPORT of 3 months'!$F$2:$F1000,'SALES REPORT of 3 months'!$D$2:$D1000,F$4,'SALES REPORT of 3 months'!$E$2:$E1000,$B15)</f>
        <v>0</v>
      </c>
      <c r="G15" s="1">
        <f>SUMIFS('SALES REPORT of 3 months'!$F$2:$F1000,'SALES REPORT of 3 months'!$D$2:$D1000,G$4,'SALES REPORT of 3 months'!$E$2:$E1000,$B15)</f>
        <v>1</v>
      </c>
      <c r="H15" s="1">
        <f>SUMIFS('SALES REPORT of 3 months'!$F$2:$F1000,'SALES REPORT of 3 months'!$D$2:$D1000,H$4,'SALES REPORT of 3 months'!$E$2:$E1000,$B15)</f>
        <v>3</v>
      </c>
      <c r="I15" s="1">
        <f>SUMIFS('SALES REPORT of 3 months'!$F$2:$F1000,'SALES REPORT of 3 months'!$D$2:$D1000,I$4,'SALES REPORT of 3 months'!$E$2:$E1000,$B15)</f>
        <v>0</v>
      </c>
      <c r="J15" s="1">
        <f>SUMIFS('SALES REPORT of 3 months'!$F$2:$F1000,'SALES REPORT of 3 months'!$D$2:$D1000,J$4,'SALES REPORT of 3 months'!$E$2:$E1000,$B15)</f>
        <v>0</v>
      </c>
      <c r="K15" s="1">
        <f>SUMIFS('SALES REPORT of 3 months'!$F$2:$F1000,'SALES REPORT of 3 months'!$D$2:$D1000,K$4,'SALES REPORT of 3 months'!$E$2:$E1000,$B15)</f>
        <v>0</v>
      </c>
      <c r="L15" s="1">
        <f>SUMIFS('SALES REPORT of 3 months'!$F$2:$F1000,'SALES REPORT of 3 months'!$D$2:$D1000,L$4,'SALES REPORT of 3 months'!$E$2:$E1000,$B15)</f>
        <v>0</v>
      </c>
      <c r="M15" s="1">
        <f>SUMIFS('SALES REPORT of 3 months'!$F$2:$F1000,'SALES REPORT of 3 months'!$D$2:$D1000,M$4,'SALES REPORT of 3 months'!$E$2:$E1000,$B15)</f>
        <v>0</v>
      </c>
      <c r="N15" s="1">
        <f>SUMIFS('SALES REPORT of 3 months'!$F$2:$F1000,'SALES REPORT of 3 months'!$D$2:$D1000,N$4,'SALES REPORT of 3 months'!$E$2:$E1000,$B15)</f>
        <v>0</v>
      </c>
      <c r="O15" s="1">
        <f>SUMIFS('SALES REPORT of 3 months'!$F$2:$F1000,'SALES REPORT of 3 months'!$D$2:$D1000,O$4,'SALES REPORT of 3 months'!$E$2:$E1000,$B15)</f>
        <v>0</v>
      </c>
      <c r="P15" s="1">
        <f>SUMIFS('SALES REPORT of 3 months'!$F$2:$F1000,'SALES REPORT of 3 months'!$D$2:$D1000,P$4,'SALES REPORT of 3 months'!$E$2:$E1000,$B15)</f>
        <v>0</v>
      </c>
      <c r="Q15" s="1">
        <f>SUMIFS('SALES REPORT of 3 months'!$F$2:$F1000,'SALES REPORT of 3 months'!$D$2:$D1000,Q$4,'SALES REPORT of 3 months'!$E$2:$E1000,$B15)</f>
        <v>0</v>
      </c>
      <c r="R15" s="1">
        <f>SUMIFS('SALES REPORT of 3 months'!$F$2:$F1000,'SALES REPORT of 3 months'!$D$2:$D1000,R$4,'SALES REPORT of 3 months'!$E$2:$E1000,$B15)</f>
        <v>0</v>
      </c>
    </row>
    <row r="16">
      <c r="B16" s="9" t="s">
        <v>227</v>
      </c>
      <c r="C16" s="1">
        <f>SUMIFS('SALES REPORT of 3 months'!$F$2:$F1000,'SALES REPORT of 3 months'!$D$2:$D1000,C$4,'SALES REPORT of 3 months'!$E$2:$E1000,$B16)</f>
        <v>0</v>
      </c>
      <c r="D16" s="1">
        <f>SUMIFS('SALES REPORT of 3 months'!$F$2:$F1000,'SALES REPORT of 3 months'!$D$2:$D1000,D$4,'SALES REPORT of 3 months'!$E$2:$E1000,$B16)</f>
        <v>5</v>
      </c>
      <c r="E16" s="1">
        <f>SUMIFS('SALES REPORT of 3 months'!$F$2:$F1000,'SALES REPORT of 3 months'!$D$2:$D1000,E$4,'SALES REPORT of 3 months'!$E$2:$E1000,$B16)</f>
        <v>1</v>
      </c>
      <c r="F16" s="1">
        <f>SUMIFS('SALES REPORT of 3 months'!$F$2:$F1000,'SALES REPORT of 3 months'!$D$2:$D1000,F$4,'SALES REPORT of 3 months'!$E$2:$E1000,$B16)</f>
        <v>0</v>
      </c>
      <c r="G16" s="1">
        <f>SUMIFS('SALES REPORT of 3 months'!$F$2:$F1000,'SALES REPORT of 3 months'!$D$2:$D1000,G$4,'SALES REPORT of 3 months'!$E$2:$E1000,$B16)</f>
        <v>9</v>
      </c>
      <c r="H16" s="1">
        <f>SUMIFS('SALES REPORT of 3 months'!$F$2:$F1000,'SALES REPORT of 3 months'!$D$2:$D1000,H$4,'SALES REPORT of 3 months'!$E$2:$E1000,$B16)</f>
        <v>0</v>
      </c>
      <c r="I16" s="1">
        <f>SUMIFS('SALES REPORT of 3 months'!$F$2:$F1000,'SALES REPORT of 3 months'!$D$2:$D1000,I$4,'SALES REPORT of 3 months'!$E$2:$E1000,$B16)</f>
        <v>10</v>
      </c>
      <c r="J16" s="1">
        <f>SUMIFS('SALES REPORT of 3 months'!$F$2:$F1000,'SALES REPORT of 3 months'!$D$2:$D1000,J$4,'SALES REPORT of 3 months'!$E$2:$E1000,$B16)</f>
        <v>0</v>
      </c>
      <c r="K16" s="1">
        <f>SUMIFS('SALES REPORT of 3 months'!$F$2:$F1000,'SALES REPORT of 3 months'!$D$2:$D1000,K$4,'SALES REPORT of 3 months'!$E$2:$E1000,$B16)</f>
        <v>2</v>
      </c>
      <c r="L16" s="1">
        <f>SUMIFS('SALES REPORT of 3 months'!$F$2:$F1000,'SALES REPORT of 3 months'!$D$2:$D1000,L$4,'SALES REPORT of 3 months'!$E$2:$E1000,$B16)</f>
        <v>0</v>
      </c>
      <c r="M16" s="1">
        <f>SUMIFS('SALES REPORT of 3 months'!$F$2:$F1000,'SALES REPORT of 3 months'!$D$2:$D1000,M$4,'SALES REPORT of 3 months'!$E$2:$E1000,$B16)</f>
        <v>0</v>
      </c>
      <c r="N16" s="1">
        <f>SUMIFS('SALES REPORT of 3 months'!$F$2:$F1000,'SALES REPORT of 3 months'!$D$2:$D1000,N$4,'SALES REPORT of 3 months'!$E$2:$E1000,$B16)</f>
        <v>0</v>
      </c>
      <c r="O16" s="1">
        <f>SUMIFS('SALES REPORT of 3 months'!$F$2:$F1000,'SALES REPORT of 3 months'!$D$2:$D1000,O$4,'SALES REPORT of 3 months'!$E$2:$E1000,$B16)</f>
        <v>2</v>
      </c>
      <c r="P16" s="1">
        <f>SUMIFS('SALES REPORT of 3 months'!$F$2:$F1000,'SALES REPORT of 3 months'!$D$2:$D1000,P$4,'SALES REPORT of 3 months'!$E$2:$E1000,$B16)</f>
        <v>2</v>
      </c>
      <c r="Q16" s="1">
        <f>SUMIFS('SALES REPORT of 3 months'!$F$2:$F1000,'SALES REPORT of 3 months'!$D$2:$D1000,Q$4,'SALES REPORT of 3 months'!$E$2:$E1000,$B16)</f>
        <v>0</v>
      </c>
      <c r="R16" s="1">
        <f>SUMIFS('SALES REPORT of 3 months'!$F$2:$F1000,'SALES REPORT of 3 months'!$D$2:$D1000,R$4,'SALES REPORT of 3 months'!$E$2:$E1000,$B16)</f>
        <v>0</v>
      </c>
    </row>
    <row r="17">
      <c r="B17" s="9" t="s">
        <v>89</v>
      </c>
      <c r="C17" s="1">
        <f>SUMIFS('SALES REPORT of 3 months'!$F$2:$F1000,'SALES REPORT of 3 months'!$D$2:$D1000,C$4,'SALES REPORT of 3 months'!$E$2:$E1000,$B17)</f>
        <v>0</v>
      </c>
      <c r="D17" s="1">
        <f>SUMIFS('SALES REPORT of 3 months'!$F$2:$F1000,'SALES REPORT of 3 months'!$D$2:$D1000,D$4,'SALES REPORT of 3 months'!$E$2:$E1000,$B17)</f>
        <v>3</v>
      </c>
      <c r="E17" s="1">
        <f>SUMIFS('SALES REPORT of 3 months'!$F$2:$F1000,'SALES REPORT of 3 months'!$D$2:$D1000,E$4,'SALES REPORT of 3 months'!$E$2:$E1000,$B17)</f>
        <v>0</v>
      </c>
      <c r="F17" s="1">
        <f>SUMIFS('SALES REPORT of 3 months'!$F$2:$F1000,'SALES REPORT of 3 months'!$D$2:$D1000,F$4,'SALES REPORT of 3 months'!$E$2:$E1000,$B17)</f>
        <v>0</v>
      </c>
      <c r="G17" s="1">
        <f>SUMIFS('SALES REPORT of 3 months'!$F$2:$F1000,'SALES REPORT of 3 months'!$D$2:$D1000,G$4,'SALES REPORT of 3 months'!$E$2:$E1000,$B17)</f>
        <v>9</v>
      </c>
      <c r="H17" s="1">
        <f>SUMIFS('SALES REPORT of 3 months'!$F$2:$F1000,'SALES REPORT of 3 months'!$D$2:$D1000,H$4,'SALES REPORT of 3 months'!$E$2:$E1000,$B17)</f>
        <v>1</v>
      </c>
      <c r="I17" s="1">
        <f>SUMIFS('SALES REPORT of 3 months'!$F$2:$F1000,'SALES REPORT of 3 months'!$D$2:$D1000,I$4,'SALES REPORT of 3 months'!$E$2:$E1000,$B17)</f>
        <v>0</v>
      </c>
      <c r="J17" s="1">
        <f>SUMIFS('SALES REPORT of 3 months'!$F$2:$F1000,'SALES REPORT of 3 months'!$D$2:$D1000,J$4,'SALES REPORT of 3 months'!$E$2:$E1000,$B17)</f>
        <v>0</v>
      </c>
      <c r="K17" s="1">
        <f>SUMIFS('SALES REPORT of 3 months'!$F$2:$F1000,'SALES REPORT of 3 months'!$D$2:$D1000,K$4,'SALES REPORT of 3 months'!$E$2:$E1000,$B17)</f>
        <v>0</v>
      </c>
      <c r="L17" s="1">
        <f>SUMIFS('SALES REPORT of 3 months'!$F$2:$F1000,'SALES REPORT of 3 months'!$D$2:$D1000,L$4,'SALES REPORT of 3 months'!$E$2:$E1000,$B17)</f>
        <v>0</v>
      </c>
      <c r="M17" s="1">
        <f>SUMIFS('SALES REPORT of 3 months'!$F$2:$F1000,'SALES REPORT of 3 months'!$D$2:$D1000,M$4,'SALES REPORT of 3 months'!$E$2:$E1000,$B17)</f>
        <v>0</v>
      </c>
      <c r="N17" s="1">
        <f>SUMIFS('SALES REPORT of 3 months'!$F$2:$F1000,'SALES REPORT of 3 months'!$D$2:$D1000,N$4,'SALES REPORT of 3 months'!$E$2:$E1000,$B17)</f>
        <v>0</v>
      </c>
      <c r="O17" s="1">
        <f>SUMIFS('SALES REPORT of 3 months'!$F$2:$F1000,'SALES REPORT of 3 months'!$D$2:$D1000,O$4,'SALES REPORT of 3 months'!$E$2:$E1000,$B17)</f>
        <v>3</v>
      </c>
      <c r="P17" s="1">
        <f>SUMIFS('SALES REPORT of 3 months'!$F$2:$F1000,'SALES REPORT of 3 months'!$D$2:$D1000,P$4,'SALES REPORT of 3 months'!$E$2:$E1000,$B17)</f>
        <v>4</v>
      </c>
      <c r="Q17" s="1">
        <f>SUMIFS('SALES REPORT of 3 months'!$F$2:$F1000,'SALES REPORT of 3 months'!$D$2:$D1000,Q$4,'SALES REPORT of 3 months'!$E$2:$E1000,$B17)</f>
        <v>0</v>
      </c>
      <c r="R17" s="1">
        <f>SUMIFS('SALES REPORT of 3 months'!$F$2:$F1000,'SALES REPORT of 3 months'!$D$2:$D1000,R$4,'SALES REPORT of 3 months'!$E$2:$E1000,$B17)</f>
        <v>1</v>
      </c>
    </row>
    <row r="18">
      <c r="B18" s="9" t="s">
        <v>189</v>
      </c>
      <c r="C18" s="1">
        <f>SUMIFS('SALES REPORT of 3 months'!$F$2:$F1000,'SALES REPORT of 3 months'!$D$2:$D1000,C$4,'SALES REPORT of 3 months'!$E$2:$E1000,$B18)</f>
        <v>0</v>
      </c>
      <c r="D18" s="1">
        <f>SUMIFS('SALES REPORT of 3 months'!$F$2:$F1000,'SALES REPORT of 3 months'!$D$2:$D1000,D$4,'SALES REPORT of 3 months'!$E$2:$E1000,$B18)</f>
        <v>0</v>
      </c>
      <c r="E18" s="1">
        <f>SUMIFS('SALES REPORT of 3 months'!$F$2:$F1000,'SALES REPORT of 3 months'!$D$2:$D1000,E$4,'SALES REPORT of 3 months'!$E$2:$E1000,$B18)</f>
        <v>0</v>
      </c>
      <c r="F18" s="1">
        <f>SUMIFS('SALES REPORT of 3 months'!$F$2:$F1000,'SALES REPORT of 3 months'!$D$2:$D1000,F$4,'SALES REPORT of 3 months'!$E$2:$E1000,$B18)</f>
        <v>0</v>
      </c>
      <c r="G18" s="1">
        <f>SUMIFS('SALES REPORT of 3 months'!$F$2:$F1000,'SALES REPORT of 3 months'!$D$2:$D1000,G$4,'SALES REPORT of 3 months'!$E$2:$E1000,$B18)</f>
        <v>1</v>
      </c>
      <c r="H18" s="1">
        <f>SUMIFS('SALES REPORT of 3 months'!$F$2:$F1000,'SALES REPORT of 3 months'!$D$2:$D1000,H$4,'SALES REPORT of 3 months'!$E$2:$E1000,$B18)</f>
        <v>0</v>
      </c>
      <c r="I18" s="1">
        <f>SUMIFS('SALES REPORT of 3 months'!$F$2:$F1000,'SALES REPORT of 3 months'!$D$2:$D1000,I$4,'SALES REPORT of 3 months'!$E$2:$E1000,$B18)</f>
        <v>0</v>
      </c>
      <c r="J18" s="1">
        <f>SUMIFS('SALES REPORT of 3 months'!$F$2:$F1000,'SALES REPORT of 3 months'!$D$2:$D1000,J$4,'SALES REPORT of 3 months'!$E$2:$E1000,$B18)</f>
        <v>0</v>
      </c>
      <c r="K18" s="1">
        <f>SUMIFS('SALES REPORT of 3 months'!$F$2:$F1000,'SALES REPORT of 3 months'!$D$2:$D1000,K$4,'SALES REPORT of 3 months'!$E$2:$E1000,$B18)</f>
        <v>0</v>
      </c>
      <c r="L18" s="1">
        <f>SUMIFS('SALES REPORT of 3 months'!$F$2:$F1000,'SALES REPORT of 3 months'!$D$2:$D1000,L$4,'SALES REPORT of 3 months'!$E$2:$E1000,$B18)</f>
        <v>0</v>
      </c>
      <c r="M18" s="1">
        <f>SUMIFS('SALES REPORT of 3 months'!$F$2:$F1000,'SALES REPORT of 3 months'!$D$2:$D1000,M$4,'SALES REPORT of 3 months'!$E$2:$E1000,$B18)</f>
        <v>0</v>
      </c>
      <c r="N18" s="1">
        <f>SUMIFS('SALES REPORT of 3 months'!$F$2:$F1000,'SALES REPORT of 3 months'!$D$2:$D1000,N$4,'SALES REPORT of 3 months'!$E$2:$E1000,$B18)</f>
        <v>0</v>
      </c>
      <c r="O18" s="1">
        <f>SUMIFS('SALES REPORT of 3 months'!$F$2:$F1000,'SALES REPORT of 3 months'!$D$2:$D1000,O$4,'SALES REPORT of 3 months'!$E$2:$E1000,$B18)</f>
        <v>0</v>
      </c>
      <c r="P18" s="1">
        <f>SUMIFS('SALES REPORT of 3 months'!$F$2:$F1000,'SALES REPORT of 3 months'!$D$2:$D1000,P$4,'SALES REPORT of 3 months'!$E$2:$E1000,$B18)</f>
        <v>0</v>
      </c>
      <c r="Q18" s="1">
        <f>SUMIFS('SALES REPORT of 3 months'!$F$2:$F1000,'SALES REPORT of 3 months'!$D$2:$D1000,Q$4,'SALES REPORT of 3 months'!$E$2:$E1000,$B18)</f>
        <v>0</v>
      </c>
      <c r="R18" s="1">
        <f>SUMIFS('SALES REPORT of 3 months'!$F$2:$F1000,'SALES REPORT of 3 months'!$D$2:$D1000,R$4,'SALES REPORT of 3 months'!$E$2:$E1000,$B18)</f>
        <v>0</v>
      </c>
    </row>
    <row r="19">
      <c r="B19" s="1" t="s">
        <v>236</v>
      </c>
      <c r="C19" s="1">
        <f>SUMIFS('SALES REPORT of 3 months'!$F$2:$F1000,'SALES REPORT of 3 months'!$D$2:$D1000,C$4,'SALES REPORT of 3 months'!$E$2:$E1000,$B19)</f>
        <v>0</v>
      </c>
      <c r="D19" s="1">
        <f>SUMIFS('SALES REPORT of 3 months'!$F$2:$F1000,'SALES REPORT of 3 months'!$D$2:$D1000,D$4,'SALES REPORT of 3 months'!$E$2:$E1000,$B19)</f>
        <v>1</v>
      </c>
      <c r="E19" s="1">
        <f>SUMIFS('SALES REPORT of 3 months'!$F$2:$F1000,'SALES REPORT of 3 months'!$D$2:$D1000,E$4,'SALES REPORT of 3 months'!$E$2:$E1000,$B19)</f>
        <v>0</v>
      </c>
      <c r="F19" s="1">
        <f>SUMIFS('SALES REPORT of 3 months'!$F$2:$F1000,'SALES REPORT of 3 months'!$D$2:$D1000,F$4,'SALES REPORT of 3 months'!$E$2:$E1000,$B19)</f>
        <v>0</v>
      </c>
      <c r="G19" s="1">
        <f>SUMIFS('SALES REPORT of 3 months'!$F$2:$F1000,'SALES REPORT of 3 months'!$D$2:$D1000,G$4,'SALES REPORT of 3 months'!$E$2:$E1000,$B19)</f>
        <v>0</v>
      </c>
      <c r="H19" s="1">
        <f>SUMIFS('SALES REPORT of 3 months'!$F$2:$F1000,'SALES REPORT of 3 months'!$D$2:$D1000,H$4,'SALES REPORT of 3 months'!$E$2:$E1000,$B19)</f>
        <v>0</v>
      </c>
      <c r="I19" s="1">
        <f>SUMIFS('SALES REPORT of 3 months'!$F$2:$F1000,'SALES REPORT of 3 months'!$D$2:$D1000,I$4,'SALES REPORT of 3 months'!$E$2:$E1000,$B19)</f>
        <v>3</v>
      </c>
      <c r="J19" s="1">
        <f>SUMIFS('SALES REPORT of 3 months'!$F$2:$F1000,'SALES REPORT of 3 months'!$D$2:$D1000,J$4,'SALES REPORT of 3 months'!$E$2:$E1000,$B19)</f>
        <v>0</v>
      </c>
      <c r="K19" s="1">
        <f>SUMIFS('SALES REPORT of 3 months'!$F$2:$F1000,'SALES REPORT of 3 months'!$D$2:$D1000,K$4,'SALES REPORT of 3 months'!$E$2:$E1000,$B19)</f>
        <v>0</v>
      </c>
      <c r="L19" s="1">
        <f>SUMIFS('SALES REPORT of 3 months'!$F$2:$F1000,'SALES REPORT of 3 months'!$D$2:$D1000,L$4,'SALES REPORT of 3 months'!$E$2:$E1000,$B19)</f>
        <v>0</v>
      </c>
      <c r="M19" s="1">
        <f>SUMIFS('SALES REPORT of 3 months'!$F$2:$F1000,'SALES REPORT of 3 months'!$D$2:$D1000,M$4,'SALES REPORT of 3 months'!$E$2:$E1000,$B19)</f>
        <v>2</v>
      </c>
      <c r="N19" s="1">
        <f>SUMIFS('SALES REPORT of 3 months'!$F$2:$F1000,'SALES REPORT of 3 months'!$D$2:$D1000,N$4,'SALES REPORT of 3 months'!$E$2:$E1000,$B19)</f>
        <v>0</v>
      </c>
      <c r="O19" s="1">
        <f>SUMIFS('SALES REPORT of 3 months'!$F$2:$F1000,'SALES REPORT of 3 months'!$D$2:$D1000,O$4,'SALES REPORT of 3 months'!$E$2:$E1000,$B19)</f>
        <v>0</v>
      </c>
      <c r="P19" s="1">
        <f>SUMIFS('SALES REPORT of 3 months'!$F$2:$F1000,'SALES REPORT of 3 months'!$D$2:$D1000,P$4,'SALES REPORT of 3 months'!$E$2:$E1000,$B19)</f>
        <v>0</v>
      </c>
      <c r="Q19" s="1">
        <f>SUMIFS('SALES REPORT of 3 months'!$F$2:$F1000,'SALES REPORT of 3 months'!$D$2:$D1000,Q$4,'SALES REPORT of 3 months'!$E$2:$E1000,$B19)</f>
        <v>0</v>
      </c>
      <c r="R19" s="1">
        <f>SUMIFS('SALES REPORT of 3 months'!$F$2:$F1000,'SALES REPORT of 3 months'!$D$2:$D1000,R$4,'SALES REPORT of 3 months'!$E$2:$E1000,$B19)</f>
        <v>1</v>
      </c>
    </row>
    <row r="20">
      <c r="B20" s="9" t="s">
        <v>15</v>
      </c>
      <c r="C20" s="1">
        <f>SUMIFS('SALES REPORT of 3 months'!$F$2:$F1000,'SALES REPORT of 3 months'!$D$2:$D1000,C$4,'SALES REPORT of 3 months'!$E$2:$E1000,$B20)</f>
        <v>0</v>
      </c>
      <c r="D20" s="1">
        <f>SUMIFS('SALES REPORT of 3 months'!$F$2:$F1000,'SALES REPORT of 3 months'!$D$2:$D1000,D$4,'SALES REPORT of 3 months'!$E$2:$E1000,$B20)</f>
        <v>2</v>
      </c>
      <c r="E20" s="1">
        <f>SUMIFS('SALES REPORT of 3 months'!$F$2:$F1000,'SALES REPORT of 3 months'!$D$2:$D1000,E$4,'SALES REPORT of 3 months'!$E$2:$E1000,$B20)</f>
        <v>0</v>
      </c>
      <c r="F20" s="1">
        <f>SUMIFS('SALES REPORT of 3 months'!$F$2:$F1000,'SALES REPORT of 3 months'!$D$2:$D1000,F$4,'SALES REPORT of 3 months'!$E$2:$E1000,$B20)</f>
        <v>0</v>
      </c>
      <c r="G20" s="1">
        <f>SUMIFS('SALES REPORT of 3 months'!$F$2:$F1000,'SALES REPORT of 3 months'!$D$2:$D1000,G$4,'SALES REPORT of 3 months'!$E$2:$E1000,$B20)</f>
        <v>0</v>
      </c>
      <c r="H20" s="1">
        <f>SUMIFS('SALES REPORT of 3 months'!$F$2:$F1000,'SALES REPORT of 3 months'!$D$2:$D1000,H$4,'SALES REPORT of 3 months'!$E$2:$E1000,$B20)</f>
        <v>0</v>
      </c>
      <c r="I20" s="1">
        <f>SUMIFS('SALES REPORT of 3 months'!$F$2:$F1000,'SALES REPORT of 3 months'!$D$2:$D1000,I$4,'SALES REPORT of 3 months'!$E$2:$E1000,$B20)</f>
        <v>0</v>
      </c>
      <c r="J20" s="1">
        <f>SUMIFS('SALES REPORT of 3 months'!$F$2:$F1000,'SALES REPORT of 3 months'!$D$2:$D1000,J$4,'SALES REPORT of 3 months'!$E$2:$E1000,$B20)</f>
        <v>0</v>
      </c>
      <c r="K20" s="1">
        <f>SUMIFS('SALES REPORT of 3 months'!$F$2:$F1000,'SALES REPORT of 3 months'!$D$2:$D1000,K$4,'SALES REPORT of 3 months'!$E$2:$E1000,$B20)</f>
        <v>0</v>
      </c>
      <c r="L20" s="1">
        <f>SUMIFS('SALES REPORT of 3 months'!$F$2:$F1000,'SALES REPORT of 3 months'!$D$2:$D1000,L$4,'SALES REPORT of 3 months'!$E$2:$E1000,$B20)</f>
        <v>0</v>
      </c>
      <c r="M20" s="1">
        <f>SUMIFS('SALES REPORT of 3 months'!$F$2:$F1000,'SALES REPORT of 3 months'!$D$2:$D1000,M$4,'SALES REPORT of 3 months'!$E$2:$E1000,$B20)</f>
        <v>0</v>
      </c>
      <c r="N20" s="1">
        <f>SUMIFS('SALES REPORT of 3 months'!$F$2:$F1000,'SALES REPORT of 3 months'!$D$2:$D1000,N$4,'SALES REPORT of 3 months'!$E$2:$E1000,$B20)</f>
        <v>0</v>
      </c>
      <c r="O20" s="1">
        <f>SUMIFS('SALES REPORT of 3 months'!$F$2:$F1000,'SALES REPORT of 3 months'!$D$2:$D1000,O$4,'SALES REPORT of 3 months'!$E$2:$E1000,$B20)</f>
        <v>0</v>
      </c>
      <c r="P20" s="1">
        <f>SUMIFS('SALES REPORT of 3 months'!$F$2:$F1000,'SALES REPORT of 3 months'!$D$2:$D1000,P$4,'SALES REPORT of 3 months'!$E$2:$E1000,$B20)</f>
        <v>0</v>
      </c>
      <c r="Q20" s="1">
        <f>SUMIFS('SALES REPORT of 3 months'!$F$2:$F1000,'SALES REPORT of 3 months'!$D$2:$D1000,Q$4,'SALES REPORT of 3 months'!$E$2:$E1000,$B20)</f>
        <v>0</v>
      </c>
      <c r="R20" s="1">
        <f>SUMIFS('SALES REPORT of 3 months'!$F$2:$F1000,'SALES REPORT of 3 months'!$D$2:$D1000,R$4,'SALES REPORT of 3 months'!$E$2:$E1000,$B20)</f>
        <v>0</v>
      </c>
    </row>
    <row r="21" ht="15.75" customHeight="1">
      <c r="B21" s="9" t="s">
        <v>48</v>
      </c>
      <c r="C21" s="1">
        <f>SUMIFS('SALES REPORT of 3 months'!$F$2:$F1000,'SALES REPORT of 3 months'!$D$2:$D1000,C$4,'SALES REPORT of 3 months'!$E$2:$E1000,$B21)</f>
        <v>0</v>
      </c>
      <c r="D21" s="1">
        <f>SUMIFS('SALES REPORT of 3 months'!$F$2:$F1000,'SALES REPORT of 3 months'!$D$2:$D1000,D$4,'SALES REPORT of 3 months'!$E$2:$E1000,$B21)</f>
        <v>4</v>
      </c>
      <c r="E21" s="1">
        <f>SUMIFS('SALES REPORT of 3 months'!$F$2:$F1000,'SALES REPORT of 3 months'!$D$2:$D1000,E$4,'SALES REPORT of 3 months'!$E$2:$E1000,$B21)</f>
        <v>0</v>
      </c>
      <c r="F21" s="1">
        <f>SUMIFS('SALES REPORT of 3 months'!$F$2:$F1000,'SALES REPORT of 3 months'!$D$2:$D1000,F$4,'SALES REPORT of 3 months'!$E$2:$E1000,$B21)</f>
        <v>0</v>
      </c>
      <c r="G21" s="1">
        <f>SUMIFS('SALES REPORT of 3 months'!$F$2:$F1000,'SALES REPORT of 3 months'!$D$2:$D1000,G$4,'SALES REPORT of 3 months'!$E$2:$E1000,$B21)</f>
        <v>3</v>
      </c>
      <c r="H21" s="1">
        <f>SUMIFS('SALES REPORT of 3 months'!$F$2:$F1000,'SALES REPORT of 3 months'!$D$2:$D1000,H$4,'SALES REPORT of 3 months'!$E$2:$E1000,$B21)</f>
        <v>0</v>
      </c>
      <c r="I21" s="1">
        <f>SUMIFS('SALES REPORT of 3 months'!$F$2:$F1000,'SALES REPORT of 3 months'!$D$2:$D1000,I$4,'SALES REPORT of 3 months'!$E$2:$E1000,$B21)</f>
        <v>2</v>
      </c>
      <c r="J21" s="1">
        <f>SUMIFS('SALES REPORT of 3 months'!$F$2:$F1000,'SALES REPORT of 3 months'!$D$2:$D1000,J$4,'SALES REPORT of 3 months'!$E$2:$E1000,$B21)</f>
        <v>0</v>
      </c>
      <c r="K21" s="1">
        <f>SUMIFS('SALES REPORT of 3 months'!$F$2:$F1000,'SALES REPORT of 3 months'!$D$2:$D1000,K$4,'SALES REPORT of 3 months'!$E$2:$E1000,$B21)</f>
        <v>0</v>
      </c>
      <c r="L21" s="1">
        <f>SUMIFS('SALES REPORT of 3 months'!$F$2:$F1000,'SALES REPORT of 3 months'!$D$2:$D1000,L$4,'SALES REPORT of 3 months'!$E$2:$E1000,$B21)</f>
        <v>0</v>
      </c>
      <c r="M21" s="1">
        <f>SUMIFS('SALES REPORT of 3 months'!$F$2:$F1000,'SALES REPORT of 3 months'!$D$2:$D1000,M$4,'SALES REPORT of 3 months'!$E$2:$E1000,$B21)</f>
        <v>0</v>
      </c>
      <c r="N21" s="1">
        <f>SUMIFS('SALES REPORT of 3 months'!$F$2:$F1000,'SALES REPORT of 3 months'!$D$2:$D1000,N$4,'SALES REPORT of 3 months'!$E$2:$E1000,$B21)</f>
        <v>1</v>
      </c>
      <c r="O21" s="1">
        <f>SUMIFS('SALES REPORT of 3 months'!$F$2:$F1000,'SALES REPORT of 3 months'!$D$2:$D1000,O$4,'SALES REPORT of 3 months'!$E$2:$E1000,$B21)</f>
        <v>0</v>
      </c>
      <c r="P21" s="1">
        <f>SUMIFS('SALES REPORT of 3 months'!$F$2:$F1000,'SALES REPORT of 3 months'!$D$2:$D1000,P$4,'SALES REPORT of 3 months'!$E$2:$E1000,$B21)</f>
        <v>1</v>
      </c>
      <c r="Q21" s="1">
        <f>SUMIFS('SALES REPORT of 3 months'!$F$2:$F1000,'SALES REPORT of 3 months'!$D$2:$D1000,Q$4,'SALES REPORT of 3 months'!$E$2:$E1000,$B21)</f>
        <v>0</v>
      </c>
      <c r="R21" s="1">
        <f>SUMIFS('SALES REPORT of 3 months'!$F$2:$F1000,'SALES REPORT of 3 months'!$D$2:$D1000,R$4,'SALES REPORT of 3 months'!$E$2:$E1000,$B21)</f>
        <v>0</v>
      </c>
    </row>
    <row r="22" ht="15.75" customHeight="1">
      <c r="B22" s="9" t="s">
        <v>241</v>
      </c>
      <c r="C22" s="1">
        <f>SUMIFS('SALES REPORT of 3 months'!$F$2:$F1000,'SALES REPORT of 3 months'!$D$2:$D1000,C$4,'SALES REPORT of 3 months'!$E$2:$E1000,$B22)</f>
        <v>0</v>
      </c>
      <c r="D22" s="1">
        <f>SUMIFS('SALES REPORT of 3 months'!$F$2:$F1000,'SALES REPORT of 3 months'!$D$2:$D1000,D$4,'SALES REPORT of 3 months'!$E$2:$E1000,$B22)</f>
        <v>0</v>
      </c>
      <c r="E22" s="1">
        <f>SUMIFS('SALES REPORT of 3 months'!$F$2:$F1000,'SALES REPORT of 3 months'!$D$2:$D1000,E$4,'SALES REPORT of 3 months'!$E$2:$E1000,$B22)</f>
        <v>0</v>
      </c>
      <c r="F22" s="1">
        <f>SUMIFS('SALES REPORT of 3 months'!$F$2:$F1000,'SALES REPORT of 3 months'!$D$2:$D1000,F$4,'SALES REPORT of 3 months'!$E$2:$E1000,$B22)</f>
        <v>0</v>
      </c>
      <c r="G22" s="1">
        <f>SUMIFS('SALES REPORT of 3 months'!$F$2:$F1000,'SALES REPORT of 3 months'!$D$2:$D1000,G$4,'SALES REPORT of 3 months'!$E$2:$E1000,$B22)</f>
        <v>0</v>
      </c>
      <c r="H22" s="1">
        <f>SUMIFS('SALES REPORT of 3 months'!$F$2:$F1000,'SALES REPORT of 3 months'!$D$2:$D1000,H$4,'SALES REPORT of 3 months'!$E$2:$E1000,$B22)</f>
        <v>1</v>
      </c>
      <c r="I22" s="1">
        <f>SUMIFS('SALES REPORT of 3 months'!$F$2:$F1000,'SALES REPORT of 3 months'!$D$2:$D1000,I$4,'SALES REPORT of 3 months'!$E$2:$E1000,$B22)</f>
        <v>0</v>
      </c>
      <c r="J22" s="1">
        <f>SUMIFS('SALES REPORT of 3 months'!$F$2:$F1000,'SALES REPORT of 3 months'!$D$2:$D1000,J$4,'SALES REPORT of 3 months'!$E$2:$E1000,$B22)</f>
        <v>0</v>
      </c>
      <c r="K22" s="1">
        <f>SUMIFS('SALES REPORT of 3 months'!$F$2:$F1000,'SALES REPORT of 3 months'!$D$2:$D1000,K$4,'SALES REPORT of 3 months'!$E$2:$E1000,$B22)</f>
        <v>0</v>
      </c>
      <c r="L22" s="1">
        <f>SUMIFS('SALES REPORT of 3 months'!$F$2:$F1000,'SALES REPORT of 3 months'!$D$2:$D1000,L$4,'SALES REPORT of 3 months'!$E$2:$E1000,$B22)</f>
        <v>0</v>
      </c>
      <c r="M22" s="1">
        <f>SUMIFS('SALES REPORT of 3 months'!$F$2:$F1000,'SALES REPORT of 3 months'!$D$2:$D1000,M$4,'SALES REPORT of 3 months'!$E$2:$E1000,$B22)</f>
        <v>0</v>
      </c>
      <c r="N22" s="1">
        <f>SUMIFS('SALES REPORT of 3 months'!$F$2:$F1000,'SALES REPORT of 3 months'!$D$2:$D1000,N$4,'SALES REPORT of 3 months'!$E$2:$E1000,$B22)</f>
        <v>0</v>
      </c>
      <c r="O22" s="1">
        <f>SUMIFS('SALES REPORT of 3 months'!$F$2:$F1000,'SALES REPORT of 3 months'!$D$2:$D1000,O$4,'SALES REPORT of 3 months'!$E$2:$E1000,$B22)</f>
        <v>1</v>
      </c>
      <c r="P22" s="1">
        <f>SUMIFS('SALES REPORT of 3 months'!$F$2:$F1000,'SALES REPORT of 3 months'!$D$2:$D1000,P$4,'SALES REPORT of 3 months'!$E$2:$E1000,$B22)</f>
        <v>0</v>
      </c>
      <c r="Q22" s="1">
        <f>SUMIFS('SALES REPORT of 3 months'!$F$2:$F1000,'SALES REPORT of 3 months'!$D$2:$D1000,Q$4,'SALES REPORT of 3 months'!$E$2:$E1000,$B22)</f>
        <v>0</v>
      </c>
      <c r="R22" s="1">
        <f>SUMIFS('SALES REPORT of 3 months'!$F$2:$F1000,'SALES REPORT of 3 months'!$D$2:$D1000,R$4,'SALES REPORT of 3 months'!$E$2:$E1000,$B22)</f>
        <v>0</v>
      </c>
    </row>
    <row r="23" ht="15.75" customHeight="1">
      <c r="B23" s="1" t="s">
        <v>244</v>
      </c>
      <c r="C23" s="1">
        <f>SUMIFS('SALES REPORT of 3 months'!$F$2:$F1000,'SALES REPORT of 3 months'!$D$2:$D1000,C$4,'SALES REPORT of 3 months'!$E$2:$E1000,$B23)</f>
        <v>0</v>
      </c>
      <c r="D23" s="1">
        <f>SUMIFS('SALES REPORT of 3 months'!$F$2:$F1000,'SALES REPORT of 3 months'!$D$2:$D1000,D$4,'SALES REPORT of 3 months'!$E$2:$E1000,$B23)</f>
        <v>0</v>
      </c>
      <c r="E23" s="1">
        <f>SUMIFS('SALES REPORT of 3 months'!$F$2:$F1000,'SALES REPORT of 3 months'!$D$2:$D1000,E$4,'SALES REPORT of 3 months'!$E$2:$E1000,$B23)</f>
        <v>0</v>
      </c>
      <c r="F23" s="1">
        <f>SUMIFS('SALES REPORT of 3 months'!$F$2:$F1000,'SALES REPORT of 3 months'!$D$2:$D1000,F$4,'SALES REPORT of 3 months'!$E$2:$E1000,$B23)</f>
        <v>0</v>
      </c>
      <c r="G23" s="1">
        <f>SUMIFS('SALES REPORT of 3 months'!$F$2:$F1000,'SALES REPORT of 3 months'!$D$2:$D1000,G$4,'SALES REPORT of 3 months'!$E$2:$E1000,$B23)</f>
        <v>0</v>
      </c>
      <c r="H23" s="1">
        <f>SUMIFS('SALES REPORT of 3 months'!$F$2:$F1000,'SALES REPORT of 3 months'!$D$2:$D1000,H$4,'SALES REPORT of 3 months'!$E$2:$E1000,$B23)</f>
        <v>0</v>
      </c>
      <c r="I23" s="1">
        <f>SUMIFS('SALES REPORT of 3 months'!$F$2:$F1000,'SALES REPORT of 3 months'!$D$2:$D1000,I$4,'SALES REPORT of 3 months'!$E$2:$E1000,$B23)</f>
        <v>0</v>
      </c>
      <c r="J23" s="1">
        <f>SUMIFS('SALES REPORT of 3 months'!$F$2:$F1000,'SALES REPORT of 3 months'!$D$2:$D1000,J$4,'SALES REPORT of 3 months'!$E$2:$E1000,$B23)</f>
        <v>0</v>
      </c>
      <c r="K23" s="1">
        <f>SUMIFS('SALES REPORT of 3 months'!$F$2:$F1000,'SALES REPORT of 3 months'!$D$2:$D1000,K$4,'SALES REPORT of 3 months'!$E$2:$E1000,$B23)</f>
        <v>0</v>
      </c>
      <c r="L23" s="1">
        <f>SUMIFS('SALES REPORT of 3 months'!$F$2:$F1000,'SALES REPORT of 3 months'!$D$2:$D1000,L$4,'SALES REPORT of 3 months'!$E$2:$E1000,$B23)</f>
        <v>0</v>
      </c>
      <c r="M23" s="1">
        <f>SUMIFS('SALES REPORT of 3 months'!$F$2:$F1000,'SALES REPORT of 3 months'!$D$2:$D1000,M$4,'SALES REPORT of 3 months'!$E$2:$E1000,$B23)</f>
        <v>0</v>
      </c>
      <c r="N23" s="1">
        <f>SUMIFS('SALES REPORT of 3 months'!$F$2:$F1000,'SALES REPORT of 3 months'!$D$2:$D1000,N$4,'SALES REPORT of 3 months'!$E$2:$E1000,$B23)</f>
        <v>0</v>
      </c>
      <c r="O23" s="1">
        <f>SUMIFS('SALES REPORT of 3 months'!$F$2:$F1000,'SALES REPORT of 3 months'!$D$2:$D1000,O$4,'SALES REPORT of 3 months'!$E$2:$E1000,$B23)</f>
        <v>1</v>
      </c>
      <c r="P23" s="1">
        <f>SUMIFS('SALES REPORT of 3 months'!$F$2:$F1000,'SALES REPORT of 3 months'!$D$2:$D1000,P$4,'SALES REPORT of 3 months'!$E$2:$E1000,$B23)</f>
        <v>0</v>
      </c>
      <c r="Q23" s="1">
        <f>SUMIFS('SALES REPORT of 3 months'!$F$2:$F1000,'SALES REPORT of 3 months'!$D$2:$D1000,Q$4,'SALES REPORT of 3 months'!$E$2:$E1000,$B23)</f>
        <v>0</v>
      </c>
      <c r="R23" s="1">
        <f>SUMIFS('SALES REPORT of 3 months'!$F$2:$F1000,'SALES REPORT of 3 months'!$D$2:$D1000,R$4,'SALES REPORT of 3 months'!$E$2:$E1000,$B23)</f>
        <v>0</v>
      </c>
    </row>
    <row r="24" ht="15.75" customHeight="1">
      <c r="B24" s="9" t="s">
        <v>249</v>
      </c>
      <c r="C24" s="1">
        <f>SUMIFS('SALES REPORT of 3 months'!$F$2:$F1000,'SALES REPORT of 3 months'!$D$2:$D1000,C$4,'SALES REPORT of 3 months'!$E$2:$E1000,$B24)</f>
        <v>0</v>
      </c>
      <c r="D24" s="1">
        <f>SUMIFS('SALES REPORT of 3 months'!$F$2:$F1000,'SALES REPORT of 3 months'!$D$2:$D1000,D$4,'SALES REPORT of 3 months'!$E$2:$E1000,$B24)</f>
        <v>1</v>
      </c>
      <c r="E24" s="1">
        <f>SUMIFS('SALES REPORT of 3 months'!$F$2:$F1000,'SALES REPORT of 3 months'!$D$2:$D1000,E$4,'SALES REPORT of 3 months'!$E$2:$E1000,$B24)</f>
        <v>0</v>
      </c>
      <c r="F24" s="1">
        <f>SUMIFS('SALES REPORT of 3 months'!$F$2:$F1000,'SALES REPORT of 3 months'!$D$2:$D1000,F$4,'SALES REPORT of 3 months'!$E$2:$E1000,$B24)</f>
        <v>0</v>
      </c>
      <c r="G24" s="1">
        <f>SUMIFS('SALES REPORT of 3 months'!$F$2:$F1000,'SALES REPORT of 3 months'!$D$2:$D1000,G$4,'SALES REPORT of 3 months'!$E$2:$E1000,$B24)</f>
        <v>0</v>
      </c>
      <c r="H24" s="1">
        <f>SUMIFS('SALES REPORT of 3 months'!$F$2:$F1000,'SALES REPORT of 3 months'!$D$2:$D1000,H$4,'SALES REPORT of 3 months'!$E$2:$E1000,$B24)</f>
        <v>0</v>
      </c>
      <c r="I24" s="1">
        <f>SUMIFS('SALES REPORT of 3 months'!$F$2:$F1000,'SALES REPORT of 3 months'!$D$2:$D1000,I$4,'SALES REPORT of 3 months'!$E$2:$E1000,$B24)</f>
        <v>0</v>
      </c>
      <c r="J24" s="1">
        <f>SUMIFS('SALES REPORT of 3 months'!$F$2:$F1000,'SALES REPORT of 3 months'!$D$2:$D1000,J$4,'SALES REPORT of 3 months'!$E$2:$E1000,$B24)</f>
        <v>0</v>
      </c>
      <c r="K24" s="1">
        <f>SUMIFS('SALES REPORT of 3 months'!$F$2:$F1000,'SALES REPORT of 3 months'!$D$2:$D1000,K$4,'SALES REPORT of 3 months'!$E$2:$E1000,$B24)</f>
        <v>0</v>
      </c>
      <c r="L24" s="1">
        <f>SUMIFS('SALES REPORT of 3 months'!$F$2:$F1000,'SALES REPORT of 3 months'!$D$2:$D1000,L$4,'SALES REPORT of 3 months'!$E$2:$E1000,$B24)</f>
        <v>0</v>
      </c>
      <c r="M24" s="1">
        <f>SUMIFS('SALES REPORT of 3 months'!$F$2:$F1000,'SALES REPORT of 3 months'!$D$2:$D1000,M$4,'SALES REPORT of 3 months'!$E$2:$E1000,$B24)</f>
        <v>0</v>
      </c>
      <c r="N24" s="1">
        <f>SUMIFS('SALES REPORT of 3 months'!$F$2:$F1000,'SALES REPORT of 3 months'!$D$2:$D1000,N$4,'SALES REPORT of 3 months'!$E$2:$E1000,$B24)</f>
        <v>0</v>
      </c>
      <c r="O24" s="1">
        <f>SUMIFS('SALES REPORT of 3 months'!$F$2:$F1000,'SALES REPORT of 3 months'!$D$2:$D1000,O$4,'SALES REPORT of 3 months'!$E$2:$E1000,$B24)</f>
        <v>0</v>
      </c>
      <c r="P24" s="1">
        <f>SUMIFS('SALES REPORT of 3 months'!$F$2:$F1000,'SALES REPORT of 3 months'!$D$2:$D1000,P$4,'SALES REPORT of 3 months'!$E$2:$E1000,$B24)</f>
        <v>0</v>
      </c>
      <c r="Q24" s="1">
        <f>SUMIFS('SALES REPORT of 3 months'!$F$2:$F1000,'SALES REPORT of 3 months'!$D$2:$D1000,Q$4,'SALES REPORT of 3 months'!$E$2:$E1000,$B24)</f>
        <v>0</v>
      </c>
      <c r="R24" s="1">
        <f>SUMIFS('SALES REPORT of 3 months'!$F$2:$F1000,'SALES REPORT of 3 months'!$D$2:$D1000,R$4,'SALES REPORT of 3 months'!$E$2:$E1000,$B24)</f>
        <v>0</v>
      </c>
    </row>
    <row r="25" ht="15.75" customHeight="1">
      <c r="B25" s="9" t="s">
        <v>250</v>
      </c>
      <c r="C25" s="1">
        <f>SUMIFS('SALES REPORT of 3 months'!$F$2:$F1000,'SALES REPORT of 3 months'!$D$2:$D1000,C$4,'SALES REPORT of 3 months'!$E$2:$E1000,$B25)</f>
        <v>0</v>
      </c>
      <c r="D25" s="1">
        <f>SUMIFS('SALES REPORT of 3 months'!$F$2:$F1000,'SALES REPORT of 3 months'!$D$2:$D1000,D$4,'SALES REPORT of 3 months'!$E$2:$E1000,$B25)</f>
        <v>1</v>
      </c>
      <c r="E25" s="1">
        <f>SUMIFS('SALES REPORT of 3 months'!$F$2:$F1000,'SALES REPORT of 3 months'!$D$2:$D1000,E$4,'SALES REPORT of 3 months'!$E$2:$E1000,$B25)</f>
        <v>0</v>
      </c>
      <c r="F25" s="1">
        <f>SUMIFS('SALES REPORT of 3 months'!$F$2:$F1000,'SALES REPORT of 3 months'!$D$2:$D1000,F$4,'SALES REPORT of 3 months'!$E$2:$E1000,$B25)</f>
        <v>0</v>
      </c>
      <c r="G25" s="1">
        <f>SUMIFS('SALES REPORT of 3 months'!$F$2:$F1000,'SALES REPORT of 3 months'!$D$2:$D1000,G$4,'SALES REPORT of 3 months'!$E$2:$E1000,$B25)</f>
        <v>0</v>
      </c>
      <c r="H25" s="1">
        <f>SUMIFS('SALES REPORT of 3 months'!$F$2:$F1000,'SALES REPORT of 3 months'!$D$2:$D1000,H$4,'SALES REPORT of 3 months'!$E$2:$E1000,$B25)</f>
        <v>0</v>
      </c>
      <c r="I25" s="1">
        <f>SUMIFS('SALES REPORT of 3 months'!$F$2:$F1000,'SALES REPORT of 3 months'!$D$2:$D1000,I$4,'SALES REPORT of 3 months'!$E$2:$E1000,$B25)</f>
        <v>1</v>
      </c>
      <c r="J25" s="1">
        <f>SUMIFS('SALES REPORT of 3 months'!$F$2:$F1000,'SALES REPORT of 3 months'!$D$2:$D1000,J$4,'SALES REPORT of 3 months'!$E$2:$E1000,$B25)</f>
        <v>0</v>
      </c>
      <c r="K25" s="1">
        <f>SUMIFS('SALES REPORT of 3 months'!$F$2:$F1000,'SALES REPORT of 3 months'!$D$2:$D1000,K$4,'SALES REPORT of 3 months'!$E$2:$E1000,$B25)</f>
        <v>0</v>
      </c>
      <c r="L25" s="1">
        <f>SUMIFS('SALES REPORT of 3 months'!$F$2:$F1000,'SALES REPORT of 3 months'!$D$2:$D1000,L$4,'SALES REPORT of 3 months'!$E$2:$E1000,$B25)</f>
        <v>0</v>
      </c>
      <c r="M25" s="1">
        <f>SUMIFS('SALES REPORT of 3 months'!$F$2:$F1000,'SALES REPORT of 3 months'!$D$2:$D1000,M$4,'SALES REPORT of 3 months'!$E$2:$E1000,$B25)</f>
        <v>0</v>
      </c>
      <c r="N25" s="1">
        <f>SUMIFS('SALES REPORT of 3 months'!$F$2:$F1000,'SALES REPORT of 3 months'!$D$2:$D1000,N$4,'SALES REPORT of 3 months'!$E$2:$E1000,$B25)</f>
        <v>0</v>
      </c>
      <c r="O25" s="1">
        <f>SUMIFS('SALES REPORT of 3 months'!$F$2:$F1000,'SALES REPORT of 3 months'!$D$2:$D1000,O$4,'SALES REPORT of 3 months'!$E$2:$E1000,$B25)</f>
        <v>0</v>
      </c>
      <c r="P25" s="1">
        <f>SUMIFS('SALES REPORT of 3 months'!$F$2:$F1000,'SALES REPORT of 3 months'!$D$2:$D1000,P$4,'SALES REPORT of 3 months'!$E$2:$E1000,$B25)</f>
        <v>0</v>
      </c>
      <c r="Q25" s="1">
        <f>SUMIFS('SALES REPORT of 3 months'!$F$2:$F1000,'SALES REPORT of 3 months'!$D$2:$D1000,Q$4,'SALES REPORT of 3 months'!$E$2:$E1000,$B25)</f>
        <v>0</v>
      </c>
      <c r="R25" s="1">
        <f>SUMIFS('SALES REPORT of 3 months'!$F$2:$F1000,'SALES REPORT of 3 months'!$D$2:$D1000,R$4,'SALES REPORT of 3 months'!$E$2:$E1000,$B25)</f>
        <v>0</v>
      </c>
    </row>
    <row r="26" ht="15.75" customHeight="1">
      <c r="B26" s="9" t="s">
        <v>199</v>
      </c>
      <c r="C26" s="1">
        <f>SUMIFS('SALES REPORT of 3 months'!$F$2:$F1000,'SALES REPORT of 3 months'!$D$2:$D1000,C$4,'SALES REPORT of 3 months'!$E$2:$E1000,$B26)</f>
        <v>0</v>
      </c>
      <c r="D26" s="1">
        <f>SUMIFS('SALES REPORT of 3 months'!$F$2:$F1000,'SALES REPORT of 3 months'!$D$2:$D1000,D$4,'SALES REPORT of 3 months'!$E$2:$E1000,$B26)</f>
        <v>0</v>
      </c>
      <c r="E26" s="1">
        <f>SUMIFS('SALES REPORT of 3 months'!$F$2:$F1000,'SALES REPORT of 3 months'!$D$2:$D1000,E$4,'SALES REPORT of 3 months'!$E$2:$E1000,$B26)</f>
        <v>0</v>
      </c>
      <c r="F26" s="1">
        <f>SUMIFS('SALES REPORT of 3 months'!$F$2:$F1000,'SALES REPORT of 3 months'!$D$2:$D1000,F$4,'SALES REPORT of 3 months'!$E$2:$E1000,$B26)</f>
        <v>0</v>
      </c>
      <c r="G26" s="1">
        <f>SUMIFS('SALES REPORT of 3 months'!$F$2:$F1000,'SALES REPORT of 3 months'!$D$2:$D1000,G$4,'SALES REPORT of 3 months'!$E$2:$E1000,$B26)</f>
        <v>1</v>
      </c>
      <c r="H26" s="1">
        <f>SUMIFS('SALES REPORT of 3 months'!$F$2:$F1000,'SALES REPORT of 3 months'!$D$2:$D1000,H$4,'SALES REPORT of 3 months'!$E$2:$E1000,$B26)</f>
        <v>0</v>
      </c>
      <c r="I26" s="1">
        <f>SUMIFS('SALES REPORT of 3 months'!$F$2:$F1000,'SALES REPORT of 3 months'!$D$2:$D1000,I$4,'SALES REPORT of 3 months'!$E$2:$E1000,$B26)</f>
        <v>0</v>
      </c>
      <c r="J26" s="1">
        <f>SUMIFS('SALES REPORT of 3 months'!$F$2:$F1000,'SALES REPORT of 3 months'!$D$2:$D1000,J$4,'SALES REPORT of 3 months'!$E$2:$E1000,$B26)</f>
        <v>0</v>
      </c>
      <c r="K26" s="1">
        <f>SUMIFS('SALES REPORT of 3 months'!$F$2:$F1000,'SALES REPORT of 3 months'!$D$2:$D1000,K$4,'SALES REPORT of 3 months'!$E$2:$E1000,$B26)</f>
        <v>0</v>
      </c>
      <c r="L26" s="1">
        <f>SUMIFS('SALES REPORT of 3 months'!$F$2:$F1000,'SALES REPORT of 3 months'!$D$2:$D1000,L$4,'SALES REPORT of 3 months'!$E$2:$E1000,$B26)</f>
        <v>0</v>
      </c>
      <c r="M26" s="1">
        <f>SUMIFS('SALES REPORT of 3 months'!$F$2:$F1000,'SALES REPORT of 3 months'!$D$2:$D1000,M$4,'SALES REPORT of 3 months'!$E$2:$E1000,$B26)</f>
        <v>0</v>
      </c>
      <c r="N26" s="1">
        <f>SUMIFS('SALES REPORT of 3 months'!$F$2:$F1000,'SALES REPORT of 3 months'!$D$2:$D1000,N$4,'SALES REPORT of 3 months'!$E$2:$E1000,$B26)</f>
        <v>0</v>
      </c>
      <c r="O26" s="1">
        <f>SUMIFS('SALES REPORT of 3 months'!$F$2:$F1000,'SALES REPORT of 3 months'!$D$2:$D1000,O$4,'SALES REPORT of 3 months'!$E$2:$E1000,$B26)</f>
        <v>0</v>
      </c>
      <c r="P26" s="1">
        <f>SUMIFS('SALES REPORT of 3 months'!$F$2:$F1000,'SALES REPORT of 3 months'!$D$2:$D1000,P$4,'SALES REPORT of 3 months'!$E$2:$E1000,$B26)</f>
        <v>0</v>
      </c>
      <c r="Q26" s="1">
        <f>SUMIFS('SALES REPORT of 3 months'!$F$2:$F1000,'SALES REPORT of 3 months'!$D$2:$D1000,Q$4,'SALES REPORT of 3 months'!$E$2:$E1000,$B26)</f>
        <v>0</v>
      </c>
      <c r="R26" s="1">
        <f>SUMIFS('SALES REPORT of 3 months'!$F$2:$F1000,'SALES REPORT of 3 months'!$D$2:$D1000,R$4,'SALES REPORT of 3 months'!$E$2:$E1000,$B26)</f>
        <v>0</v>
      </c>
    </row>
    <row r="27" ht="15.75" customHeight="1">
      <c r="B27" s="9" t="s">
        <v>200</v>
      </c>
      <c r="C27" s="1">
        <f>SUMIFS('SALES REPORT of 3 months'!$F$2:$F1000,'SALES REPORT of 3 months'!$D$2:$D1000,C$4,'SALES REPORT of 3 months'!$E$2:$E1000,$B27)</f>
        <v>0</v>
      </c>
      <c r="D27" s="1">
        <f>SUMIFS('SALES REPORT of 3 months'!$F$2:$F1000,'SALES REPORT of 3 months'!$D$2:$D1000,D$4,'SALES REPORT of 3 months'!$E$2:$E1000,$B27)</f>
        <v>0</v>
      </c>
      <c r="E27" s="1">
        <f>SUMIFS('SALES REPORT of 3 months'!$F$2:$F1000,'SALES REPORT of 3 months'!$D$2:$D1000,E$4,'SALES REPORT of 3 months'!$E$2:$E1000,$B27)</f>
        <v>1</v>
      </c>
      <c r="F27" s="1">
        <f>SUMIFS('SALES REPORT of 3 months'!$F$2:$F1000,'SALES REPORT of 3 months'!$D$2:$D1000,F$4,'SALES REPORT of 3 months'!$E$2:$E1000,$B27)</f>
        <v>0</v>
      </c>
      <c r="G27" s="1">
        <f>SUMIFS('SALES REPORT of 3 months'!$F$2:$F1000,'SALES REPORT of 3 months'!$D$2:$D1000,G$4,'SALES REPORT of 3 months'!$E$2:$E1000,$B27)</f>
        <v>0</v>
      </c>
      <c r="H27" s="1">
        <f>SUMIFS('SALES REPORT of 3 months'!$F$2:$F1000,'SALES REPORT of 3 months'!$D$2:$D1000,H$4,'SALES REPORT of 3 months'!$E$2:$E1000,$B27)</f>
        <v>0</v>
      </c>
      <c r="I27" s="1">
        <f>SUMIFS('SALES REPORT of 3 months'!$F$2:$F1000,'SALES REPORT of 3 months'!$D$2:$D1000,I$4,'SALES REPORT of 3 months'!$E$2:$E1000,$B27)</f>
        <v>0</v>
      </c>
      <c r="J27" s="1">
        <f>SUMIFS('SALES REPORT of 3 months'!$F$2:$F1000,'SALES REPORT of 3 months'!$D$2:$D1000,J$4,'SALES REPORT of 3 months'!$E$2:$E1000,$B27)</f>
        <v>0</v>
      </c>
      <c r="K27" s="1">
        <f>SUMIFS('SALES REPORT of 3 months'!$F$2:$F1000,'SALES REPORT of 3 months'!$D$2:$D1000,K$4,'SALES REPORT of 3 months'!$E$2:$E1000,$B27)</f>
        <v>0</v>
      </c>
      <c r="L27" s="1">
        <f>SUMIFS('SALES REPORT of 3 months'!$F$2:$F1000,'SALES REPORT of 3 months'!$D$2:$D1000,L$4,'SALES REPORT of 3 months'!$E$2:$E1000,$B27)</f>
        <v>0</v>
      </c>
      <c r="M27" s="1">
        <f>SUMIFS('SALES REPORT of 3 months'!$F$2:$F1000,'SALES REPORT of 3 months'!$D$2:$D1000,M$4,'SALES REPORT of 3 months'!$E$2:$E1000,$B27)</f>
        <v>0</v>
      </c>
      <c r="N27" s="1">
        <f>SUMIFS('SALES REPORT of 3 months'!$F$2:$F1000,'SALES REPORT of 3 months'!$D$2:$D1000,N$4,'SALES REPORT of 3 months'!$E$2:$E1000,$B27)</f>
        <v>0</v>
      </c>
      <c r="O27" s="1">
        <f>SUMIFS('SALES REPORT of 3 months'!$F$2:$F1000,'SALES REPORT of 3 months'!$D$2:$D1000,O$4,'SALES REPORT of 3 months'!$E$2:$E1000,$B27)</f>
        <v>0</v>
      </c>
      <c r="P27" s="1">
        <f>SUMIFS('SALES REPORT of 3 months'!$F$2:$F1000,'SALES REPORT of 3 months'!$D$2:$D1000,P$4,'SALES REPORT of 3 months'!$E$2:$E1000,$B27)</f>
        <v>0</v>
      </c>
      <c r="Q27" s="1">
        <f>SUMIFS('SALES REPORT of 3 months'!$F$2:$F1000,'SALES REPORT of 3 months'!$D$2:$D1000,Q$4,'SALES REPORT of 3 months'!$E$2:$E1000,$B27)</f>
        <v>0</v>
      </c>
      <c r="R27" s="1">
        <f>SUMIFS('SALES REPORT of 3 months'!$F$2:$F1000,'SALES REPORT of 3 months'!$D$2:$D1000,R$4,'SALES REPORT of 3 months'!$E$2:$E1000,$B27)</f>
        <v>0</v>
      </c>
    </row>
    <row r="28" ht="15.75" customHeight="1">
      <c r="B28" s="9" t="s">
        <v>201</v>
      </c>
      <c r="C28" s="1">
        <f>SUMIFS('SALES REPORT of 3 months'!$F$2:$F1000,'SALES REPORT of 3 months'!$D$2:$D1000,C$4,'SALES REPORT of 3 months'!$E$2:$E1000,$B28)</f>
        <v>0</v>
      </c>
      <c r="D28" s="1">
        <f>SUMIFS('SALES REPORT of 3 months'!$F$2:$F1000,'SALES REPORT of 3 months'!$D$2:$D1000,D$4,'SALES REPORT of 3 months'!$E$2:$E1000,$B28)</f>
        <v>0</v>
      </c>
      <c r="E28" s="1">
        <f>SUMIFS('SALES REPORT of 3 months'!$F$2:$F1000,'SALES REPORT of 3 months'!$D$2:$D1000,E$4,'SALES REPORT of 3 months'!$E$2:$E1000,$B28)</f>
        <v>0</v>
      </c>
      <c r="F28" s="1">
        <f>SUMIFS('SALES REPORT of 3 months'!$F$2:$F1000,'SALES REPORT of 3 months'!$D$2:$D1000,F$4,'SALES REPORT of 3 months'!$E$2:$E1000,$B28)</f>
        <v>0</v>
      </c>
      <c r="G28" s="1">
        <f>SUMIFS('SALES REPORT of 3 months'!$F$2:$F1000,'SALES REPORT of 3 months'!$D$2:$D1000,G$4,'SALES REPORT of 3 months'!$E$2:$E1000,$B28)</f>
        <v>0</v>
      </c>
      <c r="H28" s="1">
        <f>SUMIFS('SALES REPORT of 3 months'!$F$2:$F1000,'SALES REPORT of 3 months'!$D$2:$D1000,H$4,'SALES REPORT of 3 months'!$E$2:$E1000,$B28)</f>
        <v>0</v>
      </c>
      <c r="I28" s="1">
        <f>SUMIFS('SALES REPORT of 3 months'!$F$2:$F1000,'SALES REPORT of 3 months'!$D$2:$D1000,I$4,'SALES REPORT of 3 months'!$E$2:$E1000,$B28)</f>
        <v>1</v>
      </c>
      <c r="J28" s="1">
        <f>SUMIFS('SALES REPORT of 3 months'!$F$2:$F1000,'SALES REPORT of 3 months'!$D$2:$D1000,J$4,'SALES REPORT of 3 months'!$E$2:$E1000,$B28)</f>
        <v>0</v>
      </c>
      <c r="K28" s="1">
        <f>SUMIFS('SALES REPORT of 3 months'!$F$2:$F1000,'SALES REPORT of 3 months'!$D$2:$D1000,K$4,'SALES REPORT of 3 months'!$E$2:$E1000,$B28)</f>
        <v>0</v>
      </c>
      <c r="L28" s="1">
        <f>SUMIFS('SALES REPORT of 3 months'!$F$2:$F1000,'SALES REPORT of 3 months'!$D$2:$D1000,L$4,'SALES REPORT of 3 months'!$E$2:$E1000,$B28)</f>
        <v>0</v>
      </c>
      <c r="M28" s="1">
        <f>SUMIFS('SALES REPORT of 3 months'!$F$2:$F1000,'SALES REPORT of 3 months'!$D$2:$D1000,M$4,'SALES REPORT of 3 months'!$E$2:$E1000,$B28)</f>
        <v>0</v>
      </c>
      <c r="N28" s="1">
        <f>SUMIFS('SALES REPORT of 3 months'!$F$2:$F1000,'SALES REPORT of 3 months'!$D$2:$D1000,N$4,'SALES REPORT of 3 months'!$E$2:$E1000,$B28)</f>
        <v>0</v>
      </c>
      <c r="O28" s="1">
        <f>SUMIFS('SALES REPORT of 3 months'!$F$2:$F1000,'SALES REPORT of 3 months'!$D$2:$D1000,O$4,'SALES REPORT of 3 months'!$E$2:$E1000,$B28)</f>
        <v>0</v>
      </c>
      <c r="P28" s="1">
        <f>SUMIFS('SALES REPORT of 3 months'!$F$2:$F1000,'SALES REPORT of 3 months'!$D$2:$D1000,P$4,'SALES REPORT of 3 months'!$E$2:$E1000,$B28)</f>
        <v>0</v>
      </c>
      <c r="Q28" s="1">
        <f>SUMIFS('SALES REPORT of 3 months'!$F$2:$F1000,'SALES REPORT of 3 months'!$D$2:$D1000,Q$4,'SALES REPORT of 3 months'!$E$2:$E1000,$B28)</f>
        <v>0</v>
      </c>
      <c r="R28" s="1">
        <f>SUMIFS('SALES REPORT of 3 months'!$F$2:$F1000,'SALES REPORT of 3 months'!$D$2:$D1000,R$4,'SALES REPORT of 3 months'!$E$2:$E1000,$B28)</f>
        <v>0</v>
      </c>
    </row>
    <row r="29" ht="15.75" customHeight="1">
      <c r="B29" s="1" t="s">
        <v>251</v>
      </c>
      <c r="C29" s="1">
        <f>SUMIFS('SALES REPORT of 3 months'!$F$2:$F1000,'SALES REPORT of 3 months'!$D$2:$D1000,C$4,'SALES REPORT of 3 months'!$E$2:$E1000,$B29)</f>
        <v>0</v>
      </c>
      <c r="D29" s="1">
        <f>SUMIFS('SALES REPORT of 3 months'!$F$2:$F1000,'SALES REPORT of 3 months'!$D$2:$D1000,D$4,'SALES REPORT of 3 months'!$E$2:$E1000,$B29)</f>
        <v>2</v>
      </c>
      <c r="E29" s="1">
        <f>SUMIFS('SALES REPORT of 3 months'!$F$2:$F1000,'SALES REPORT of 3 months'!$D$2:$D1000,E$4,'SALES REPORT of 3 months'!$E$2:$E1000,$B29)</f>
        <v>0</v>
      </c>
      <c r="F29" s="1">
        <f>SUMIFS('SALES REPORT of 3 months'!$F$2:$F1000,'SALES REPORT of 3 months'!$D$2:$D1000,F$4,'SALES REPORT of 3 months'!$E$2:$E1000,$B29)</f>
        <v>0</v>
      </c>
      <c r="G29" s="1">
        <f>SUMIFS('SALES REPORT of 3 months'!$F$2:$F1000,'SALES REPORT of 3 months'!$D$2:$D1000,G$4,'SALES REPORT of 3 months'!$E$2:$E1000,$B29)</f>
        <v>0</v>
      </c>
      <c r="H29" s="1">
        <f>SUMIFS('SALES REPORT of 3 months'!$F$2:$F1000,'SALES REPORT of 3 months'!$D$2:$D1000,H$4,'SALES REPORT of 3 months'!$E$2:$E1000,$B29)</f>
        <v>0</v>
      </c>
      <c r="I29" s="1">
        <f>SUMIFS('SALES REPORT of 3 months'!$F$2:$F1000,'SALES REPORT of 3 months'!$D$2:$D1000,I$4,'SALES REPORT of 3 months'!$E$2:$E1000,$B29)</f>
        <v>0</v>
      </c>
      <c r="J29" s="1">
        <f>SUMIFS('SALES REPORT of 3 months'!$F$2:$F1000,'SALES REPORT of 3 months'!$D$2:$D1000,J$4,'SALES REPORT of 3 months'!$E$2:$E1000,$B29)</f>
        <v>0</v>
      </c>
      <c r="K29" s="1">
        <f>SUMIFS('SALES REPORT of 3 months'!$F$2:$F1000,'SALES REPORT of 3 months'!$D$2:$D1000,K$4,'SALES REPORT of 3 months'!$E$2:$E1000,$B29)</f>
        <v>0</v>
      </c>
      <c r="L29" s="1">
        <f>SUMIFS('SALES REPORT of 3 months'!$F$2:$F1000,'SALES REPORT of 3 months'!$D$2:$D1000,L$4,'SALES REPORT of 3 months'!$E$2:$E1000,$B29)</f>
        <v>0</v>
      </c>
      <c r="M29" s="1">
        <f>SUMIFS('SALES REPORT of 3 months'!$F$2:$F1000,'SALES REPORT of 3 months'!$D$2:$D1000,M$4,'SALES REPORT of 3 months'!$E$2:$E1000,$B29)</f>
        <v>0</v>
      </c>
      <c r="N29" s="1">
        <f>SUMIFS('SALES REPORT of 3 months'!$F$2:$F1000,'SALES REPORT of 3 months'!$D$2:$D1000,N$4,'SALES REPORT of 3 months'!$E$2:$E1000,$B29)</f>
        <v>0</v>
      </c>
      <c r="O29" s="1">
        <f>SUMIFS('SALES REPORT of 3 months'!$F$2:$F1000,'SALES REPORT of 3 months'!$D$2:$D1000,O$4,'SALES REPORT of 3 months'!$E$2:$E1000,$B29)</f>
        <v>0</v>
      </c>
      <c r="P29" s="1">
        <f>SUMIFS('SALES REPORT of 3 months'!$F$2:$F1000,'SALES REPORT of 3 months'!$D$2:$D1000,P$4,'SALES REPORT of 3 months'!$E$2:$E1000,$B29)</f>
        <v>0</v>
      </c>
      <c r="Q29" s="1">
        <f>SUMIFS('SALES REPORT of 3 months'!$F$2:$F1000,'SALES REPORT of 3 months'!$D$2:$D1000,Q$4,'SALES REPORT of 3 months'!$E$2:$E1000,$B29)</f>
        <v>0</v>
      </c>
      <c r="R29" s="1">
        <f>SUMIFS('SALES REPORT of 3 months'!$F$2:$F1000,'SALES REPORT of 3 months'!$D$2:$D1000,R$4,'SALES REPORT of 3 months'!$E$2:$E1000,$B29)</f>
        <v>0</v>
      </c>
    </row>
    <row r="30" ht="15.75" customHeight="1">
      <c r="B30" s="1" t="s">
        <v>126</v>
      </c>
      <c r="C30" s="1">
        <f>SUMIFS('SALES REPORT of 3 months'!$F$2:$F1000,'SALES REPORT of 3 months'!$D$2:$D1000,C$4,'SALES REPORT of 3 months'!$E$2:$E1000,$B30)</f>
        <v>0</v>
      </c>
      <c r="D30" s="1">
        <f>SUMIFS('SALES REPORT of 3 months'!$F$2:$F1000,'SALES REPORT of 3 months'!$D$2:$D1000,D$4,'SALES REPORT of 3 months'!$E$2:$E1000,$B30)</f>
        <v>3</v>
      </c>
      <c r="E30" s="1">
        <f>SUMIFS('SALES REPORT of 3 months'!$F$2:$F1000,'SALES REPORT of 3 months'!$D$2:$D1000,E$4,'SALES REPORT of 3 months'!$E$2:$E1000,$B30)</f>
        <v>0</v>
      </c>
      <c r="F30" s="1">
        <f>SUMIFS('SALES REPORT of 3 months'!$F$2:$F1000,'SALES REPORT of 3 months'!$D$2:$D1000,F$4,'SALES REPORT of 3 months'!$E$2:$E1000,$B30)</f>
        <v>0</v>
      </c>
      <c r="G30" s="1">
        <f>SUMIFS('SALES REPORT of 3 months'!$F$2:$F1000,'SALES REPORT of 3 months'!$D$2:$D1000,G$4,'SALES REPORT of 3 months'!$E$2:$E1000,$B30)</f>
        <v>9</v>
      </c>
      <c r="H30" s="1">
        <f>SUMIFS('SALES REPORT of 3 months'!$F$2:$F1000,'SALES REPORT of 3 months'!$D$2:$D1000,H$4,'SALES REPORT of 3 months'!$E$2:$E1000,$B30)</f>
        <v>1</v>
      </c>
      <c r="I30" s="1">
        <f>SUMIFS('SALES REPORT of 3 months'!$F$2:$F1000,'SALES REPORT of 3 months'!$D$2:$D1000,I$4,'SALES REPORT of 3 months'!$E$2:$E1000,$B30)</f>
        <v>0</v>
      </c>
      <c r="J30" s="1">
        <f>SUMIFS('SALES REPORT of 3 months'!$F$2:$F1000,'SALES REPORT of 3 months'!$D$2:$D1000,J$4,'SALES REPORT of 3 months'!$E$2:$E1000,$B30)</f>
        <v>0</v>
      </c>
      <c r="K30" s="1">
        <f>SUMIFS('SALES REPORT of 3 months'!$F$2:$F1000,'SALES REPORT of 3 months'!$D$2:$D1000,K$4,'SALES REPORT of 3 months'!$E$2:$E1000,$B30)</f>
        <v>0</v>
      </c>
      <c r="L30" s="1">
        <f>SUMIFS('SALES REPORT of 3 months'!$F$2:$F1000,'SALES REPORT of 3 months'!$D$2:$D1000,L$4,'SALES REPORT of 3 months'!$E$2:$E1000,$B30)</f>
        <v>0</v>
      </c>
      <c r="M30" s="1">
        <f>SUMIFS('SALES REPORT of 3 months'!$F$2:$F1000,'SALES REPORT of 3 months'!$D$2:$D1000,M$4,'SALES REPORT of 3 months'!$E$2:$E1000,$B30)</f>
        <v>0</v>
      </c>
      <c r="N30" s="1">
        <f>SUMIFS('SALES REPORT of 3 months'!$F$2:$F1000,'SALES REPORT of 3 months'!$D$2:$D1000,N$4,'SALES REPORT of 3 months'!$E$2:$E1000,$B30)</f>
        <v>0</v>
      </c>
      <c r="O30" s="1">
        <f>SUMIFS('SALES REPORT of 3 months'!$F$2:$F1000,'SALES REPORT of 3 months'!$D$2:$D1000,O$4,'SALES REPORT of 3 months'!$E$2:$E1000,$B30)</f>
        <v>3</v>
      </c>
      <c r="P30" s="1">
        <f>SUMIFS('SALES REPORT of 3 months'!$F$2:$F1000,'SALES REPORT of 3 months'!$D$2:$D1000,P$4,'SALES REPORT of 3 months'!$E$2:$E1000,$B30)</f>
        <v>4</v>
      </c>
      <c r="Q30" s="1">
        <f>SUMIFS('SALES REPORT of 3 months'!$F$2:$F1000,'SALES REPORT of 3 months'!$D$2:$D1000,Q$4,'SALES REPORT of 3 months'!$E$2:$E1000,$B30)</f>
        <v>0</v>
      </c>
      <c r="R30" s="1">
        <f>SUMIFS('SALES REPORT of 3 months'!$F$2:$F1000,'SALES REPORT of 3 months'!$D$2:$D1000,R$4,'SALES REPORT of 3 months'!$E$2:$E1000,$B30)</f>
        <v>1</v>
      </c>
    </row>
    <row r="31" ht="15.75" customHeight="1">
      <c r="B31" s="9" t="s">
        <v>207</v>
      </c>
      <c r="C31" s="1">
        <f>SUMIFS('SALES REPORT of 3 months'!$F$2:$F1000,'SALES REPORT of 3 months'!$D$2:$D1000,C$4,'SALES REPORT of 3 months'!$E$2:$E1000,$B31)</f>
        <v>0</v>
      </c>
      <c r="D31" s="1">
        <f>SUMIFS('SALES REPORT of 3 months'!$F$2:$F1000,'SALES REPORT of 3 months'!$D$2:$D1000,D$4,'SALES REPORT of 3 months'!$E$2:$E1000,$B31)</f>
        <v>1</v>
      </c>
      <c r="E31" s="1">
        <f>SUMIFS('SALES REPORT of 3 months'!$F$2:$F1000,'SALES REPORT of 3 months'!$D$2:$D1000,E$4,'SALES REPORT of 3 months'!$E$2:$E1000,$B31)</f>
        <v>0</v>
      </c>
      <c r="F31" s="1">
        <f>SUMIFS('SALES REPORT of 3 months'!$F$2:$F1000,'SALES REPORT of 3 months'!$D$2:$D1000,F$4,'SALES REPORT of 3 months'!$E$2:$E1000,$B31)</f>
        <v>0</v>
      </c>
      <c r="G31" s="1">
        <f>SUMIFS('SALES REPORT of 3 months'!$F$2:$F1000,'SALES REPORT of 3 months'!$D$2:$D1000,G$4,'SALES REPORT of 3 months'!$E$2:$E1000,$B31)</f>
        <v>0</v>
      </c>
      <c r="H31" s="1">
        <f>SUMIFS('SALES REPORT of 3 months'!$F$2:$F1000,'SALES REPORT of 3 months'!$D$2:$D1000,H$4,'SALES REPORT of 3 months'!$E$2:$E1000,$B31)</f>
        <v>0</v>
      </c>
      <c r="I31" s="1">
        <f>SUMIFS('SALES REPORT of 3 months'!$F$2:$F1000,'SALES REPORT of 3 months'!$D$2:$D1000,I$4,'SALES REPORT of 3 months'!$E$2:$E1000,$B31)</f>
        <v>0</v>
      </c>
      <c r="J31" s="1">
        <f>SUMIFS('SALES REPORT of 3 months'!$F$2:$F1000,'SALES REPORT of 3 months'!$D$2:$D1000,J$4,'SALES REPORT of 3 months'!$E$2:$E1000,$B31)</f>
        <v>0</v>
      </c>
      <c r="K31" s="1">
        <f>SUMIFS('SALES REPORT of 3 months'!$F$2:$F1000,'SALES REPORT of 3 months'!$D$2:$D1000,K$4,'SALES REPORT of 3 months'!$E$2:$E1000,$B31)</f>
        <v>0</v>
      </c>
      <c r="L31" s="1">
        <f>SUMIFS('SALES REPORT of 3 months'!$F$2:$F1000,'SALES REPORT of 3 months'!$D$2:$D1000,L$4,'SALES REPORT of 3 months'!$E$2:$E1000,$B31)</f>
        <v>0</v>
      </c>
      <c r="M31" s="1">
        <f>SUMIFS('SALES REPORT of 3 months'!$F$2:$F1000,'SALES REPORT of 3 months'!$D$2:$D1000,M$4,'SALES REPORT of 3 months'!$E$2:$E1000,$B31)</f>
        <v>0</v>
      </c>
      <c r="N31" s="1">
        <f>SUMIFS('SALES REPORT of 3 months'!$F$2:$F1000,'SALES REPORT of 3 months'!$D$2:$D1000,N$4,'SALES REPORT of 3 months'!$E$2:$E1000,$B31)</f>
        <v>0</v>
      </c>
      <c r="O31" s="1">
        <f>SUMIFS('SALES REPORT of 3 months'!$F$2:$F1000,'SALES REPORT of 3 months'!$D$2:$D1000,O$4,'SALES REPORT of 3 months'!$E$2:$E1000,$B31)</f>
        <v>0</v>
      </c>
      <c r="P31" s="1">
        <f>SUMIFS('SALES REPORT of 3 months'!$F$2:$F1000,'SALES REPORT of 3 months'!$D$2:$D1000,P$4,'SALES REPORT of 3 months'!$E$2:$E1000,$B31)</f>
        <v>0</v>
      </c>
      <c r="Q31" s="1">
        <f>SUMIFS('SALES REPORT of 3 months'!$F$2:$F1000,'SALES REPORT of 3 months'!$D$2:$D1000,Q$4,'SALES REPORT of 3 months'!$E$2:$E1000,$B31)</f>
        <v>0</v>
      </c>
      <c r="R31" s="1">
        <f>SUMIFS('SALES REPORT of 3 months'!$F$2:$F1000,'SALES REPORT of 3 months'!$D$2:$D1000,R$4,'SALES REPORT of 3 months'!$E$2:$E1000,$B31)</f>
        <v>0</v>
      </c>
    </row>
    <row r="32" ht="15.75" customHeight="1">
      <c r="B32" s="9" t="s">
        <v>256</v>
      </c>
      <c r="C32" s="1">
        <f>SUMIFS('SALES REPORT of 3 months'!$F$2:$F1000,'SALES REPORT of 3 months'!$D$2:$D1000,C$4,'SALES REPORT of 3 months'!$E$2:$E1000,$B32)</f>
        <v>0</v>
      </c>
      <c r="D32" s="1">
        <f>SUMIFS('SALES REPORT of 3 months'!$F$2:$F1000,'SALES REPORT of 3 months'!$D$2:$D1000,D$4,'SALES REPORT of 3 months'!$E$2:$E1000,$B32)</f>
        <v>0</v>
      </c>
      <c r="E32" s="1">
        <f>SUMIFS('SALES REPORT of 3 months'!$F$2:$F1000,'SALES REPORT of 3 months'!$D$2:$D1000,E$4,'SALES REPORT of 3 months'!$E$2:$E1000,$B32)</f>
        <v>0</v>
      </c>
      <c r="F32" s="1">
        <f>SUMIFS('SALES REPORT of 3 months'!$F$2:$F1000,'SALES REPORT of 3 months'!$D$2:$D1000,F$4,'SALES REPORT of 3 months'!$E$2:$E1000,$B32)</f>
        <v>0</v>
      </c>
      <c r="G32" s="1">
        <f>SUMIFS('SALES REPORT of 3 months'!$F$2:$F1000,'SALES REPORT of 3 months'!$D$2:$D1000,G$4,'SALES REPORT of 3 months'!$E$2:$E1000,$B32)</f>
        <v>0</v>
      </c>
      <c r="H32" s="1">
        <f>SUMIFS('SALES REPORT of 3 months'!$F$2:$F1000,'SALES REPORT of 3 months'!$D$2:$D1000,H$4,'SALES REPORT of 3 months'!$E$2:$E1000,$B32)</f>
        <v>0</v>
      </c>
      <c r="I32" s="1">
        <f>SUMIFS('SALES REPORT of 3 months'!$F$2:$F1000,'SALES REPORT of 3 months'!$D$2:$D1000,I$4,'SALES REPORT of 3 months'!$E$2:$E1000,$B32)</f>
        <v>0</v>
      </c>
      <c r="J32" s="1">
        <f>SUMIFS('SALES REPORT of 3 months'!$F$2:$F1000,'SALES REPORT of 3 months'!$D$2:$D1000,J$4,'SALES REPORT of 3 months'!$E$2:$E1000,$B32)</f>
        <v>0</v>
      </c>
      <c r="K32" s="1">
        <f>SUMIFS('SALES REPORT of 3 months'!$F$2:$F1000,'SALES REPORT of 3 months'!$D$2:$D1000,K$4,'SALES REPORT of 3 months'!$E$2:$E1000,$B32)</f>
        <v>0</v>
      </c>
      <c r="L32" s="1">
        <f>SUMIFS('SALES REPORT of 3 months'!$F$2:$F1000,'SALES REPORT of 3 months'!$D$2:$D1000,L$4,'SALES REPORT of 3 months'!$E$2:$E1000,$B32)</f>
        <v>0</v>
      </c>
      <c r="M32" s="1">
        <f>SUMIFS('SALES REPORT of 3 months'!$F$2:$F1000,'SALES REPORT of 3 months'!$D$2:$D1000,M$4,'SALES REPORT of 3 months'!$E$2:$E1000,$B32)</f>
        <v>0</v>
      </c>
      <c r="N32" s="1">
        <f>SUMIFS('SALES REPORT of 3 months'!$F$2:$F1000,'SALES REPORT of 3 months'!$D$2:$D1000,N$4,'SALES REPORT of 3 months'!$E$2:$E1000,$B32)</f>
        <v>1</v>
      </c>
      <c r="O32" s="1">
        <f>SUMIFS('SALES REPORT of 3 months'!$F$2:$F1000,'SALES REPORT of 3 months'!$D$2:$D1000,O$4,'SALES REPORT of 3 months'!$E$2:$E1000,$B32)</f>
        <v>0</v>
      </c>
      <c r="P32" s="1">
        <f>SUMIFS('SALES REPORT of 3 months'!$F$2:$F1000,'SALES REPORT of 3 months'!$D$2:$D1000,P$4,'SALES REPORT of 3 months'!$E$2:$E1000,$B32)</f>
        <v>0</v>
      </c>
      <c r="Q32" s="1">
        <f>SUMIFS('SALES REPORT of 3 months'!$F$2:$F1000,'SALES REPORT of 3 months'!$D$2:$D1000,Q$4,'SALES REPORT of 3 months'!$E$2:$E1000,$B32)</f>
        <v>0</v>
      </c>
      <c r="R32" s="1">
        <f>SUMIFS('SALES REPORT of 3 months'!$F$2:$F1000,'SALES REPORT of 3 months'!$D$2:$D1000,R$4,'SALES REPORT of 3 months'!$E$2:$E1000,$B32)</f>
        <v>0</v>
      </c>
    </row>
    <row r="33" ht="15.75" customHeight="1">
      <c r="B33" s="9" t="s">
        <v>116</v>
      </c>
      <c r="C33" s="1">
        <f>SUMIFS('SALES REPORT of 3 months'!$F$2:$F1000,'SALES REPORT of 3 months'!$D$2:$D1000,C$4,'SALES REPORT of 3 months'!$E$2:$E1000,$B33)</f>
        <v>0</v>
      </c>
      <c r="D33" s="1">
        <f>SUMIFS('SALES REPORT of 3 months'!$F$2:$F1000,'SALES REPORT of 3 months'!$D$2:$D1000,D$4,'SALES REPORT of 3 months'!$E$2:$E1000,$B33)</f>
        <v>0</v>
      </c>
      <c r="E33" s="1">
        <f>SUMIFS('SALES REPORT of 3 months'!$F$2:$F1000,'SALES REPORT of 3 months'!$D$2:$D1000,E$4,'SALES REPORT of 3 months'!$E$2:$E1000,$B33)</f>
        <v>0</v>
      </c>
      <c r="F33" s="1">
        <f>SUMIFS('SALES REPORT of 3 months'!$F$2:$F1000,'SALES REPORT of 3 months'!$D$2:$D1000,F$4,'SALES REPORT of 3 months'!$E$2:$E1000,$B33)</f>
        <v>0</v>
      </c>
      <c r="G33" s="1">
        <f>SUMIFS('SALES REPORT of 3 months'!$F$2:$F1000,'SALES REPORT of 3 months'!$D$2:$D1000,G$4,'SALES REPORT of 3 months'!$E$2:$E1000,$B33)</f>
        <v>0</v>
      </c>
      <c r="H33" s="1">
        <f>SUMIFS('SALES REPORT of 3 months'!$F$2:$F1000,'SALES REPORT of 3 months'!$D$2:$D1000,H$4,'SALES REPORT of 3 months'!$E$2:$E1000,$B33)</f>
        <v>0</v>
      </c>
      <c r="I33" s="1">
        <f>SUMIFS('SALES REPORT of 3 months'!$F$2:$F1000,'SALES REPORT of 3 months'!$D$2:$D1000,I$4,'SALES REPORT of 3 months'!$E$2:$E1000,$B33)</f>
        <v>0</v>
      </c>
      <c r="J33" s="1">
        <f>SUMIFS('SALES REPORT of 3 months'!$F$2:$F1000,'SALES REPORT of 3 months'!$D$2:$D1000,J$4,'SALES REPORT of 3 months'!$E$2:$E1000,$B33)</f>
        <v>0</v>
      </c>
      <c r="K33" s="1">
        <f>SUMIFS('SALES REPORT of 3 months'!$F$2:$F1000,'SALES REPORT of 3 months'!$D$2:$D1000,K$4,'SALES REPORT of 3 months'!$E$2:$E1000,$B33)</f>
        <v>0</v>
      </c>
      <c r="L33" s="1">
        <f>SUMIFS('SALES REPORT of 3 months'!$F$2:$F1000,'SALES REPORT of 3 months'!$D$2:$D1000,L$4,'SALES REPORT of 3 months'!$E$2:$E1000,$B33)</f>
        <v>0</v>
      </c>
      <c r="M33" s="1">
        <f>SUMIFS('SALES REPORT of 3 months'!$F$2:$F1000,'SALES REPORT of 3 months'!$D$2:$D1000,M$4,'SALES REPORT of 3 months'!$E$2:$E1000,$B33)</f>
        <v>0</v>
      </c>
      <c r="N33" s="1">
        <f>SUMIFS('SALES REPORT of 3 months'!$F$2:$F1000,'SALES REPORT of 3 months'!$D$2:$D1000,N$4,'SALES REPORT of 3 months'!$E$2:$E1000,$B33)</f>
        <v>0</v>
      </c>
      <c r="O33" s="1">
        <f>SUMIFS('SALES REPORT of 3 months'!$F$2:$F1000,'SALES REPORT of 3 months'!$D$2:$D1000,O$4,'SALES REPORT of 3 months'!$E$2:$E1000,$B33)</f>
        <v>0</v>
      </c>
      <c r="P33" s="1">
        <f>SUMIFS('SALES REPORT of 3 months'!$F$2:$F1000,'SALES REPORT of 3 months'!$D$2:$D1000,P$4,'SALES REPORT of 3 months'!$E$2:$E1000,$B33)</f>
        <v>0</v>
      </c>
      <c r="Q33" s="1">
        <f>SUMIFS('SALES REPORT of 3 months'!$F$2:$F1000,'SALES REPORT of 3 months'!$D$2:$D1000,Q$4,'SALES REPORT of 3 months'!$E$2:$E1000,$B33)</f>
        <v>2</v>
      </c>
      <c r="R33" s="1">
        <f>SUMIFS('SALES REPORT of 3 months'!$F$2:$F1000,'SALES REPORT of 3 months'!$D$2:$D1000,R$4,'SALES REPORT of 3 months'!$E$2:$E1000,$B33)</f>
        <v>0</v>
      </c>
    </row>
    <row r="34" ht="15.75" customHeight="1">
      <c r="B34" s="9" t="s">
        <v>124</v>
      </c>
      <c r="C34" s="1">
        <f>SUMIFS('SALES REPORT of 3 months'!$F$2:$F1000,'SALES REPORT of 3 months'!$D$2:$D1000,C$4,'SALES REPORT of 3 months'!$E$2:$E1000,$B34)</f>
        <v>0</v>
      </c>
      <c r="D34" s="1">
        <f>SUMIFS('SALES REPORT of 3 months'!$F$2:$F1000,'SALES REPORT of 3 months'!$D$2:$D1000,D$4,'SALES REPORT of 3 months'!$E$2:$E1000,$B34)</f>
        <v>0</v>
      </c>
      <c r="E34" s="1">
        <f>SUMIFS('SALES REPORT of 3 months'!$F$2:$F1000,'SALES REPORT of 3 months'!$D$2:$D1000,E$4,'SALES REPORT of 3 months'!$E$2:$E1000,$B34)</f>
        <v>0</v>
      </c>
      <c r="F34" s="1">
        <f>SUMIFS('SALES REPORT of 3 months'!$F$2:$F1000,'SALES REPORT of 3 months'!$D$2:$D1000,F$4,'SALES REPORT of 3 months'!$E$2:$E1000,$B34)</f>
        <v>0</v>
      </c>
      <c r="G34" s="1">
        <f>SUMIFS('SALES REPORT of 3 months'!$F$2:$F1000,'SALES REPORT of 3 months'!$D$2:$D1000,G$4,'SALES REPORT of 3 months'!$E$2:$E1000,$B34)</f>
        <v>1</v>
      </c>
      <c r="H34" s="1">
        <f>SUMIFS('SALES REPORT of 3 months'!$F$2:$F1000,'SALES REPORT of 3 months'!$D$2:$D1000,H$4,'SALES REPORT of 3 months'!$E$2:$E1000,$B34)</f>
        <v>0</v>
      </c>
      <c r="I34" s="1">
        <f>SUMIFS('SALES REPORT of 3 months'!$F$2:$F1000,'SALES REPORT of 3 months'!$D$2:$D1000,I$4,'SALES REPORT of 3 months'!$E$2:$E1000,$B34)</f>
        <v>0</v>
      </c>
      <c r="J34" s="1">
        <f>SUMIFS('SALES REPORT of 3 months'!$F$2:$F1000,'SALES REPORT of 3 months'!$D$2:$D1000,J$4,'SALES REPORT of 3 months'!$E$2:$E1000,$B34)</f>
        <v>0</v>
      </c>
      <c r="K34" s="1">
        <f>SUMIFS('SALES REPORT of 3 months'!$F$2:$F1000,'SALES REPORT of 3 months'!$D$2:$D1000,K$4,'SALES REPORT of 3 months'!$E$2:$E1000,$B34)</f>
        <v>0</v>
      </c>
      <c r="L34" s="1">
        <f>SUMIFS('SALES REPORT of 3 months'!$F$2:$F1000,'SALES REPORT of 3 months'!$D$2:$D1000,L$4,'SALES REPORT of 3 months'!$E$2:$E1000,$B34)</f>
        <v>0</v>
      </c>
      <c r="M34" s="1">
        <f>SUMIFS('SALES REPORT of 3 months'!$F$2:$F1000,'SALES REPORT of 3 months'!$D$2:$D1000,M$4,'SALES REPORT of 3 months'!$E$2:$E1000,$B34)</f>
        <v>0</v>
      </c>
      <c r="N34" s="1">
        <f>SUMIFS('SALES REPORT of 3 months'!$F$2:$F1000,'SALES REPORT of 3 months'!$D$2:$D1000,N$4,'SALES REPORT of 3 months'!$E$2:$E1000,$B34)</f>
        <v>0</v>
      </c>
      <c r="O34" s="1">
        <f>SUMIFS('SALES REPORT of 3 months'!$F$2:$F1000,'SALES REPORT of 3 months'!$D$2:$D1000,O$4,'SALES REPORT of 3 months'!$E$2:$E1000,$B34)</f>
        <v>0</v>
      </c>
      <c r="P34" s="1">
        <f>SUMIFS('SALES REPORT of 3 months'!$F$2:$F1000,'SALES REPORT of 3 months'!$D$2:$D1000,P$4,'SALES REPORT of 3 months'!$E$2:$E1000,$B34)</f>
        <v>0</v>
      </c>
      <c r="Q34" s="1">
        <f>SUMIFS('SALES REPORT of 3 months'!$F$2:$F1000,'SALES REPORT of 3 months'!$D$2:$D1000,Q$4,'SALES REPORT of 3 months'!$E$2:$E1000,$B34)</f>
        <v>0</v>
      </c>
      <c r="R34" s="1">
        <f>SUMIFS('SALES REPORT of 3 months'!$F$2:$F1000,'SALES REPORT of 3 months'!$D$2:$D1000,R$4,'SALES REPORT of 3 months'!$E$2:$E1000,$B34)</f>
        <v>0</v>
      </c>
    </row>
    <row r="35" ht="15.75" customHeight="1">
      <c r="B35" s="9" t="s">
        <v>259</v>
      </c>
      <c r="C35" s="1">
        <f>SUMIFS('SALES REPORT of 3 months'!$F$2:$F1000,'SALES REPORT of 3 months'!$D$2:$D1000,C$4,'SALES REPORT of 3 months'!$E$2:$E1000,$B35)</f>
        <v>0</v>
      </c>
      <c r="D35" s="1">
        <f>SUMIFS('SALES REPORT of 3 months'!$F$2:$F1000,'SALES REPORT of 3 months'!$D$2:$D1000,D$4,'SALES REPORT of 3 months'!$E$2:$E1000,$B35)</f>
        <v>0</v>
      </c>
      <c r="E35" s="1">
        <f>SUMIFS('SALES REPORT of 3 months'!$F$2:$F1000,'SALES REPORT of 3 months'!$D$2:$D1000,E$4,'SALES REPORT of 3 months'!$E$2:$E1000,$B35)</f>
        <v>0</v>
      </c>
      <c r="F35" s="1">
        <f>SUMIFS('SALES REPORT of 3 months'!$F$2:$F1000,'SALES REPORT of 3 months'!$D$2:$D1000,F$4,'SALES REPORT of 3 months'!$E$2:$E1000,$B35)</f>
        <v>0</v>
      </c>
      <c r="G35" s="1">
        <f>SUMIFS('SALES REPORT of 3 months'!$F$2:$F1000,'SALES REPORT of 3 months'!$D$2:$D1000,G$4,'SALES REPORT of 3 months'!$E$2:$E1000,$B35)</f>
        <v>0</v>
      </c>
      <c r="H35" s="1">
        <f>SUMIFS('SALES REPORT of 3 months'!$F$2:$F1000,'SALES REPORT of 3 months'!$D$2:$D1000,H$4,'SALES REPORT of 3 months'!$E$2:$E1000,$B35)</f>
        <v>0</v>
      </c>
      <c r="I35" s="1">
        <f>SUMIFS('SALES REPORT of 3 months'!$F$2:$F1000,'SALES REPORT of 3 months'!$D$2:$D1000,I$4,'SALES REPORT of 3 months'!$E$2:$E1000,$B35)</f>
        <v>1</v>
      </c>
      <c r="J35" s="1">
        <f>SUMIFS('SALES REPORT of 3 months'!$F$2:$F1000,'SALES REPORT of 3 months'!$D$2:$D1000,J$4,'SALES REPORT of 3 months'!$E$2:$E1000,$B35)</f>
        <v>0</v>
      </c>
      <c r="K35" s="1">
        <f>SUMIFS('SALES REPORT of 3 months'!$F$2:$F1000,'SALES REPORT of 3 months'!$D$2:$D1000,K$4,'SALES REPORT of 3 months'!$E$2:$E1000,$B35)</f>
        <v>0</v>
      </c>
      <c r="L35" s="1">
        <f>SUMIFS('SALES REPORT of 3 months'!$F$2:$F1000,'SALES REPORT of 3 months'!$D$2:$D1000,L$4,'SALES REPORT of 3 months'!$E$2:$E1000,$B35)</f>
        <v>0</v>
      </c>
      <c r="M35" s="1">
        <f>SUMIFS('SALES REPORT of 3 months'!$F$2:$F1000,'SALES REPORT of 3 months'!$D$2:$D1000,M$4,'SALES REPORT of 3 months'!$E$2:$E1000,$B35)</f>
        <v>0</v>
      </c>
      <c r="N35" s="1">
        <f>SUMIFS('SALES REPORT of 3 months'!$F$2:$F1000,'SALES REPORT of 3 months'!$D$2:$D1000,N$4,'SALES REPORT of 3 months'!$E$2:$E1000,$B35)</f>
        <v>0</v>
      </c>
      <c r="O35" s="1">
        <f>SUMIFS('SALES REPORT of 3 months'!$F$2:$F1000,'SALES REPORT of 3 months'!$D$2:$D1000,O$4,'SALES REPORT of 3 months'!$E$2:$E1000,$B35)</f>
        <v>0</v>
      </c>
      <c r="P35" s="1">
        <f>SUMIFS('SALES REPORT of 3 months'!$F$2:$F1000,'SALES REPORT of 3 months'!$D$2:$D1000,P$4,'SALES REPORT of 3 months'!$E$2:$E1000,$B35)</f>
        <v>0</v>
      </c>
      <c r="Q35" s="1">
        <f>SUMIFS('SALES REPORT of 3 months'!$F$2:$F1000,'SALES REPORT of 3 months'!$D$2:$D1000,Q$4,'SALES REPORT of 3 months'!$E$2:$E1000,$B35)</f>
        <v>0</v>
      </c>
      <c r="R35" s="1">
        <f>SUMIFS('SALES REPORT of 3 months'!$F$2:$F1000,'SALES REPORT of 3 months'!$D$2:$D1000,R$4,'SALES REPORT of 3 months'!$E$2:$E1000,$B35)</f>
        <v>0</v>
      </c>
    </row>
    <row r="36" ht="15.75" customHeight="1">
      <c r="B36" s="1" t="s">
        <v>260</v>
      </c>
      <c r="C36" s="1">
        <f>SUMIFS('SALES REPORT of 3 months'!$F$2:$F1000,'SALES REPORT of 3 months'!$D$2:$D1000,C$4,'SALES REPORT of 3 months'!$E$2:$E1000,$B36)</f>
        <v>0</v>
      </c>
      <c r="D36" s="1">
        <f>SUMIFS('SALES REPORT of 3 months'!$F$2:$F1000,'SALES REPORT of 3 months'!$D$2:$D1000,D$4,'SALES REPORT of 3 months'!$E$2:$E1000,$B36)</f>
        <v>0</v>
      </c>
      <c r="E36" s="1">
        <f>SUMIFS('SALES REPORT of 3 months'!$F$2:$F1000,'SALES REPORT of 3 months'!$D$2:$D1000,E$4,'SALES REPORT of 3 months'!$E$2:$E1000,$B36)</f>
        <v>0</v>
      </c>
      <c r="F36" s="1">
        <f>SUMIFS('SALES REPORT of 3 months'!$F$2:$F1000,'SALES REPORT of 3 months'!$D$2:$D1000,F$4,'SALES REPORT of 3 months'!$E$2:$E1000,$B36)</f>
        <v>0</v>
      </c>
      <c r="G36" s="1">
        <f>SUMIFS('SALES REPORT of 3 months'!$F$2:$F1000,'SALES REPORT of 3 months'!$D$2:$D1000,G$4,'SALES REPORT of 3 months'!$E$2:$E1000,$B36)</f>
        <v>0</v>
      </c>
      <c r="H36" s="1">
        <f>SUMIFS('SALES REPORT of 3 months'!$F$2:$F1000,'SALES REPORT of 3 months'!$D$2:$D1000,H$4,'SALES REPORT of 3 months'!$E$2:$E1000,$B36)</f>
        <v>0</v>
      </c>
      <c r="I36" s="1">
        <f>SUMIFS('SALES REPORT of 3 months'!$F$2:$F1000,'SALES REPORT of 3 months'!$D$2:$D1000,I$4,'SALES REPORT of 3 months'!$E$2:$E1000,$B36)</f>
        <v>0</v>
      </c>
      <c r="J36" s="1">
        <f>SUMIFS('SALES REPORT of 3 months'!$F$2:$F1000,'SALES REPORT of 3 months'!$D$2:$D1000,J$4,'SALES REPORT of 3 months'!$E$2:$E1000,$B36)</f>
        <v>0</v>
      </c>
      <c r="K36" s="1">
        <f>SUMIFS('SALES REPORT of 3 months'!$F$2:$F1000,'SALES REPORT of 3 months'!$D$2:$D1000,K$4,'SALES REPORT of 3 months'!$E$2:$E1000,$B36)</f>
        <v>0</v>
      </c>
      <c r="L36" s="1">
        <f>SUMIFS('SALES REPORT of 3 months'!$F$2:$F1000,'SALES REPORT of 3 months'!$D$2:$D1000,L$4,'SALES REPORT of 3 months'!$E$2:$E1000,$B36)</f>
        <v>0</v>
      </c>
      <c r="M36" s="1">
        <f>SUMIFS('SALES REPORT of 3 months'!$F$2:$F1000,'SALES REPORT of 3 months'!$D$2:$D1000,M$4,'SALES REPORT of 3 months'!$E$2:$E1000,$B36)</f>
        <v>0</v>
      </c>
      <c r="N36" s="1">
        <f>SUMIFS('SALES REPORT of 3 months'!$F$2:$F1000,'SALES REPORT of 3 months'!$D$2:$D1000,N$4,'SALES REPORT of 3 months'!$E$2:$E1000,$B36)</f>
        <v>0</v>
      </c>
      <c r="O36" s="1">
        <f>SUMIFS('SALES REPORT of 3 months'!$F$2:$F1000,'SALES REPORT of 3 months'!$D$2:$D1000,O$4,'SALES REPORT of 3 months'!$E$2:$E1000,$B36)</f>
        <v>0</v>
      </c>
      <c r="P36" s="1">
        <f>SUMIFS('SALES REPORT of 3 months'!$F$2:$F1000,'SALES REPORT of 3 months'!$D$2:$D1000,P$4,'SALES REPORT of 3 months'!$E$2:$E1000,$B36)</f>
        <v>0</v>
      </c>
      <c r="Q36" s="1">
        <f>SUMIFS('SALES REPORT of 3 months'!$F$2:$F1000,'SALES REPORT of 3 months'!$D$2:$D1000,Q$4,'SALES REPORT of 3 months'!$E$2:$E1000,$B36)</f>
        <v>0</v>
      </c>
      <c r="R36" s="1">
        <f>SUMIFS('SALES REPORT of 3 months'!$F$2:$F1000,'SALES REPORT of 3 months'!$D$2:$D1000,R$4,'SALES REPORT of 3 months'!$E$2:$E1000,$B36)</f>
        <v>1</v>
      </c>
    </row>
    <row r="37" ht="15.75" customHeight="1">
      <c r="B37" s="9" t="s">
        <v>261</v>
      </c>
      <c r="C37" s="1">
        <f>SUMIFS('SALES REPORT of 3 months'!$F$2:$F1000,'SALES REPORT of 3 months'!$D$2:$D1000,C$4,'SALES REPORT of 3 months'!$E$2:$E1000,$B37)</f>
        <v>0</v>
      </c>
      <c r="D37" s="1">
        <f>SUMIFS('SALES REPORT of 3 months'!$F$2:$F1000,'SALES REPORT of 3 months'!$D$2:$D1000,D$4,'SALES REPORT of 3 months'!$E$2:$E1000,$B37)</f>
        <v>0</v>
      </c>
      <c r="E37" s="1">
        <f>SUMIFS('SALES REPORT of 3 months'!$F$2:$F1000,'SALES REPORT of 3 months'!$D$2:$D1000,E$4,'SALES REPORT of 3 months'!$E$2:$E1000,$B37)</f>
        <v>0</v>
      </c>
      <c r="F37" s="1">
        <f>SUMIFS('SALES REPORT of 3 months'!$F$2:$F1000,'SALES REPORT of 3 months'!$D$2:$D1000,F$4,'SALES REPORT of 3 months'!$E$2:$E1000,$B37)</f>
        <v>0</v>
      </c>
      <c r="G37" s="1">
        <f>SUMIFS('SALES REPORT of 3 months'!$F$2:$F1000,'SALES REPORT of 3 months'!$D$2:$D1000,G$4,'SALES REPORT of 3 months'!$E$2:$E1000,$B37)</f>
        <v>0</v>
      </c>
      <c r="H37" s="1">
        <f>SUMIFS('SALES REPORT of 3 months'!$F$2:$F1000,'SALES REPORT of 3 months'!$D$2:$D1000,H$4,'SALES REPORT of 3 months'!$E$2:$E1000,$B37)</f>
        <v>0</v>
      </c>
      <c r="I37" s="1">
        <f>SUMIFS('SALES REPORT of 3 months'!$F$2:$F1000,'SALES REPORT of 3 months'!$D$2:$D1000,I$4,'SALES REPORT of 3 months'!$E$2:$E1000,$B37)</f>
        <v>2</v>
      </c>
      <c r="J37" s="1">
        <f>SUMIFS('SALES REPORT of 3 months'!$F$2:$F1000,'SALES REPORT of 3 months'!$D$2:$D1000,J$4,'SALES REPORT of 3 months'!$E$2:$E1000,$B37)</f>
        <v>0</v>
      </c>
      <c r="K37" s="1">
        <f>SUMIFS('SALES REPORT of 3 months'!$F$2:$F1000,'SALES REPORT of 3 months'!$D$2:$D1000,K$4,'SALES REPORT of 3 months'!$E$2:$E1000,$B37)</f>
        <v>0</v>
      </c>
      <c r="L37" s="1">
        <f>SUMIFS('SALES REPORT of 3 months'!$F$2:$F1000,'SALES REPORT of 3 months'!$D$2:$D1000,L$4,'SALES REPORT of 3 months'!$E$2:$E1000,$B37)</f>
        <v>0</v>
      </c>
      <c r="M37" s="1">
        <f>SUMIFS('SALES REPORT of 3 months'!$F$2:$F1000,'SALES REPORT of 3 months'!$D$2:$D1000,M$4,'SALES REPORT of 3 months'!$E$2:$E1000,$B37)</f>
        <v>0</v>
      </c>
      <c r="N37" s="1">
        <f>SUMIFS('SALES REPORT of 3 months'!$F$2:$F1000,'SALES REPORT of 3 months'!$D$2:$D1000,N$4,'SALES REPORT of 3 months'!$E$2:$E1000,$B37)</f>
        <v>0</v>
      </c>
      <c r="O37" s="1">
        <f>SUMIFS('SALES REPORT of 3 months'!$F$2:$F1000,'SALES REPORT of 3 months'!$D$2:$D1000,O$4,'SALES REPORT of 3 months'!$E$2:$E1000,$B37)</f>
        <v>0</v>
      </c>
      <c r="P37" s="1">
        <f>SUMIFS('SALES REPORT of 3 months'!$F$2:$F1000,'SALES REPORT of 3 months'!$D$2:$D1000,P$4,'SALES REPORT of 3 months'!$E$2:$E1000,$B37)</f>
        <v>0</v>
      </c>
      <c r="Q37" s="1">
        <f>SUMIFS('SALES REPORT of 3 months'!$F$2:$F1000,'SALES REPORT of 3 months'!$D$2:$D1000,Q$4,'SALES REPORT of 3 months'!$E$2:$E1000,$B37)</f>
        <v>0</v>
      </c>
      <c r="R37" s="1">
        <f>SUMIFS('SALES REPORT of 3 months'!$F$2:$F1000,'SALES REPORT of 3 months'!$D$2:$D1000,R$4,'SALES REPORT of 3 months'!$E$2:$E1000,$B37)</f>
        <v>0</v>
      </c>
    </row>
    <row r="38" ht="15.75" customHeight="1">
      <c r="B38" s="1" t="s">
        <v>264</v>
      </c>
      <c r="C38" s="1">
        <f>SUMIFS('SALES REPORT of 3 months'!$F$2:$F1000,'SALES REPORT of 3 months'!$D$2:$D1000,C$4,'SALES REPORT of 3 months'!$E$2:$E1000,$B38)</f>
        <v>0</v>
      </c>
      <c r="D38" s="1">
        <f>SUMIFS('SALES REPORT of 3 months'!$F$2:$F1000,'SALES REPORT of 3 months'!$D$2:$D1000,D$4,'SALES REPORT of 3 months'!$E$2:$E1000,$B38)</f>
        <v>0</v>
      </c>
      <c r="E38" s="1">
        <f>SUMIFS('SALES REPORT of 3 months'!$F$2:$F1000,'SALES REPORT of 3 months'!$D$2:$D1000,E$4,'SALES REPORT of 3 months'!$E$2:$E1000,$B38)</f>
        <v>1</v>
      </c>
      <c r="F38" s="1">
        <f>SUMIFS('SALES REPORT of 3 months'!$F$2:$F1000,'SALES REPORT of 3 months'!$D$2:$D1000,F$4,'SALES REPORT of 3 months'!$E$2:$E1000,$B38)</f>
        <v>0</v>
      </c>
      <c r="G38" s="1">
        <f>SUMIFS('SALES REPORT of 3 months'!$F$2:$F1000,'SALES REPORT of 3 months'!$D$2:$D1000,G$4,'SALES REPORT of 3 months'!$E$2:$E1000,$B38)</f>
        <v>0</v>
      </c>
      <c r="H38" s="1">
        <f>SUMIFS('SALES REPORT of 3 months'!$F$2:$F1000,'SALES REPORT of 3 months'!$D$2:$D1000,H$4,'SALES REPORT of 3 months'!$E$2:$E1000,$B38)</f>
        <v>0</v>
      </c>
      <c r="I38" s="1">
        <f>SUMIFS('SALES REPORT of 3 months'!$F$2:$F1000,'SALES REPORT of 3 months'!$D$2:$D1000,I$4,'SALES REPORT of 3 months'!$E$2:$E1000,$B38)</f>
        <v>0</v>
      </c>
      <c r="J38" s="1">
        <f>SUMIFS('SALES REPORT of 3 months'!$F$2:$F1000,'SALES REPORT of 3 months'!$D$2:$D1000,J$4,'SALES REPORT of 3 months'!$E$2:$E1000,$B38)</f>
        <v>0</v>
      </c>
      <c r="K38" s="1">
        <f>SUMIFS('SALES REPORT of 3 months'!$F$2:$F1000,'SALES REPORT of 3 months'!$D$2:$D1000,K$4,'SALES REPORT of 3 months'!$E$2:$E1000,$B38)</f>
        <v>0</v>
      </c>
      <c r="L38" s="1">
        <f>SUMIFS('SALES REPORT of 3 months'!$F$2:$F1000,'SALES REPORT of 3 months'!$D$2:$D1000,L$4,'SALES REPORT of 3 months'!$E$2:$E1000,$B38)</f>
        <v>0</v>
      </c>
      <c r="M38" s="1">
        <f>SUMIFS('SALES REPORT of 3 months'!$F$2:$F1000,'SALES REPORT of 3 months'!$D$2:$D1000,M$4,'SALES REPORT of 3 months'!$E$2:$E1000,$B38)</f>
        <v>0</v>
      </c>
      <c r="N38" s="1">
        <f>SUMIFS('SALES REPORT of 3 months'!$F$2:$F1000,'SALES REPORT of 3 months'!$D$2:$D1000,N$4,'SALES REPORT of 3 months'!$E$2:$E1000,$B38)</f>
        <v>0</v>
      </c>
      <c r="O38" s="1">
        <f>SUMIFS('SALES REPORT of 3 months'!$F$2:$F1000,'SALES REPORT of 3 months'!$D$2:$D1000,O$4,'SALES REPORT of 3 months'!$E$2:$E1000,$B38)</f>
        <v>0</v>
      </c>
      <c r="P38" s="1">
        <f>SUMIFS('SALES REPORT of 3 months'!$F$2:$F1000,'SALES REPORT of 3 months'!$D$2:$D1000,P$4,'SALES REPORT of 3 months'!$E$2:$E1000,$B38)</f>
        <v>0</v>
      </c>
      <c r="Q38" s="1">
        <f>SUMIFS('SALES REPORT of 3 months'!$F$2:$F1000,'SALES REPORT of 3 months'!$D$2:$D1000,Q$4,'SALES REPORT of 3 months'!$E$2:$E1000,$B38)</f>
        <v>0</v>
      </c>
      <c r="R38" s="1">
        <f>SUMIFS('SALES REPORT of 3 months'!$F$2:$F1000,'SALES REPORT of 3 months'!$D$2:$D1000,R$4,'SALES REPORT of 3 months'!$E$2:$E1000,$B38)</f>
        <v>0</v>
      </c>
    </row>
    <row r="39" ht="15.75" customHeight="1">
      <c r="B39" s="9" t="s">
        <v>267</v>
      </c>
      <c r="C39" s="1">
        <f>SUMIFS('SALES REPORT of 3 months'!$F$2:$F1000,'SALES REPORT of 3 months'!$D$2:$D1000,C$4,'SALES REPORT of 3 months'!$E$2:$E1000,$B39)</f>
        <v>1</v>
      </c>
      <c r="D39" s="1">
        <f>SUMIFS('SALES REPORT of 3 months'!$F$2:$F1000,'SALES REPORT of 3 months'!$D$2:$D1000,D$4,'SALES REPORT of 3 months'!$E$2:$E1000,$B39)</f>
        <v>0</v>
      </c>
      <c r="E39" s="1">
        <f>SUMIFS('SALES REPORT of 3 months'!$F$2:$F1000,'SALES REPORT of 3 months'!$D$2:$D1000,E$4,'SALES REPORT of 3 months'!$E$2:$E1000,$B39)</f>
        <v>0</v>
      </c>
      <c r="F39" s="1">
        <f>SUMIFS('SALES REPORT of 3 months'!$F$2:$F1000,'SALES REPORT of 3 months'!$D$2:$D1000,F$4,'SALES REPORT of 3 months'!$E$2:$E1000,$B39)</f>
        <v>0</v>
      </c>
      <c r="G39" s="1">
        <f>SUMIFS('SALES REPORT of 3 months'!$F$2:$F1000,'SALES REPORT of 3 months'!$D$2:$D1000,G$4,'SALES REPORT of 3 months'!$E$2:$E1000,$B39)</f>
        <v>2</v>
      </c>
      <c r="H39" s="1">
        <f>SUMIFS('SALES REPORT of 3 months'!$F$2:$F1000,'SALES REPORT of 3 months'!$D$2:$D1000,H$4,'SALES REPORT of 3 months'!$E$2:$E1000,$B39)</f>
        <v>0</v>
      </c>
      <c r="I39" s="1">
        <f>SUMIFS('SALES REPORT of 3 months'!$F$2:$F1000,'SALES REPORT of 3 months'!$D$2:$D1000,I$4,'SALES REPORT of 3 months'!$E$2:$E1000,$B39)</f>
        <v>0</v>
      </c>
      <c r="J39" s="1">
        <f>SUMIFS('SALES REPORT of 3 months'!$F$2:$F1000,'SALES REPORT of 3 months'!$D$2:$D1000,J$4,'SALES REPORT of 3 months'!$E$2:$E1000,$B39)</f>
        <v>0</v>
      </c>
      <c r="K39" s="1">
        <f>SUMIFS('SALES REPORT of 3 months'!$F$2:$F1000,'SALES REPORT of 3 months'!$D$2:$D1000,K$4,'SALES REPORT of 3 months'!$E$2:$E1000,$B39)</f>
        <v>0</v>
      </c>
      <c r="L39" s="1">
        <f>SUMIFS('SALES REPORT of 3 months'!$F$2:$F1000,'SALES REPORT of 3 months'!$D$2:$D1000,L$4,'SALES REPORT of 3 months'!$E$2:$E1000,$B39)</f>
        <v>0</v>
      </c>
      <c r="M39" s="1">
        <f>SUMIFS('SALES REPORT of 3 months'!$F$2:$F1000,'SALES REPORT of 3 months'!$D$2:$D1000,M$4,'SALES REPORT of 3 months'!$E$2:$E1000,$B39)</f>
        <v>0</v>
      </c>
      <c r="N39" s="1">
        <f>SUMIFS('SALES REPORT of 3 months'!$F$2:$F1000,'SALES REPORT of 3 months'!$D$2:$D1000,N$4,'SALES REPORT of 3 months'!$E$2:$E1000,$B39)</f>
        <v>0</v>
      </c>
      <c r="O39" s="1">
        <f>SUMIFS('SALES REPORT of 3 months'!$F$2:$F1000,'SALES REPORT of 3 months'!$D$2:$D1000,O$4,'SALES REPORT of 3 months'!$E$2:$E1000,$B39)</f>
        <v>0</v>
      </c>
      <c r="P39" s="1">
        <f>SUMIFS('SALES REPORT of 3 months'!$F$2:$F1000,'SALES REPORT of 3 months'!$D$2:$D1000,P$4,'SALES REPORT of 3 months'!$E$2:$E1000,$B39)</f>
        <v>0</v>
      </c>
      <c r="Q39" s="1">
        <f>SUMIFS('SALES REPORT of 3 months'!$F$2:$F1000,'SALES REPORT of 3 months'!$D$2:$D1000,Q$4,'SALES REPORT of 3 months'!$E$2:$E1000,$B39)</f>
        <v>0</v>
      </c>
      <c r="R39" s="1">
        <f>SUMIFS('SALES REPORT of 3 months'!$F$2:$F1000,'SALES REPORT of 3 months'!$D$2:$D1000,R$4,'SALES REPORT of 3 months'!$E$2:$E1000,$B39)</f>
        <v>1</v>
      </c>
    </row>
    <row r="40" ht="15.75" customHeight="1">
      <c r="B40" s="1" t="s">
        <v>268</v>
      </c>
      <c r="C40" s="1">
        <f>SUMIFS('SALES REPORT of 3 months'!$F$2:$F1000,'SALES REPORT of 3 months'!$D$2:$D1000,C$4,'SALES REPORT of 3 months'!$E$2:$E1000,$B40)</f>
        <v>0</v>
      </c>
      <c r="D40" s="1">
        <f>SUMIFS('SALES REPORT of 3 months'!$F$2:$F1000,'SALES REPORT of 3 months'!$D$2:$D1000,D$4,'SALES REPORT of 3 months'!$E$2:$E1000,$B40)</f>
        <v>0</v>
      </c>
      <c r="E40" s="1">
        <f>SUMIFS('SALES REPORT of 3 months'!$F$2:$F1000,'SALES REPORT of 3 months'!$D$2:$D1000,E$4,'SALES REPORT of 3 months'!$E$2:$E1000,$B40)</f>
        <v>0</v>
      </c>
      <c r="F40" s="1">
        <f>SUMIFS('SALES REPORT of 3 months'!$F$2:$F1000,'SALES REPORT of 3 months'!$D$2:$D1000,F$4,'SALES REPORT of 3 months'!$E$2:$E1000,$B40)</f>
        <v>0</v>
      </c>
      <c r="G40" s="1">
        <f>SUMIFS('SALES REPORT of 3 months'!$F$2:$F1000,'SALES REPORT of 3 months'!$D$2:$D1000,G$4,'SALES REPORT of 3 months'!$E$2:$E1000,$B40)</f>
        <v>3</v>
      </c>
      <c r="H40" s="1">
        <f>SUMIFS('SALES REPORT of 3 months'!$F$2:$F1000,'SALES REPORT of 3 months'!$D$2:$D1000,H$4,'SALES REPORT of 3 months'!$E$2:$E1000,$B40)</f>
        <v>0</v>
      </c>
      <c r="I40" s="1">
        <f>SUMIFS('SALES REPORT of 3 months'!$F$2:$F1000,'SALES REPORT of 3 months'!$D$2:$D1000,I$4,'SALES REPORT of 3 months'!$E$2:$E1000,$B40)</f>
        <v>0</v>
      </c>
      <c r="J40" s="1">
        <f>SUMIFS('SALES REPORT of 3 months'!$F$2:$F1000,'SALES REPORT of 3 months'!$D$2:$D1000,J$4,'SALES REPORT of 3 months'!$E$2:$E1000,$B40)</f>
        <v>0</v>
      </c>
      <c r="K40" s="1">
        <f>SUMIFS('SALES REPORT of 3 months'!$F$2:$F1000,'SALES REPORT of 3 months'!$D$2:$D1000,K$4,'SALES REPORT of 3 months'!$E$2:$E1000,$B40)</f>
        <v>0</v>
      </c>
      <c r="L40" s="1">
        <f>SUMIFS('SALES REPORT of 3 months'!$F$2:$F1000,'SALES REPORT of 3 months'!$D$2:$D1000,L$4,'SALES REPORT of 3 months'!$E$2:$E1000,$B40)</f>
        <v>0</v>
      </c>
      <c r="M40" s="1">
        <f>SUMIFS('SALES REPORT of 3 months'!$F$2:$F1000,'SALES REPORT of 3 months'!$D$2:$D1000,M$4,'SALES REPORT of 3 months'!$E$2:$E1000,$B40)</f>
        <v>0</v>
      </c>
      <c r="N40" s="1">
        <f>SUMIFS('SALES REPORT of 3 months'!$F$2:$F1000,'SALES REPORT of 3 months'!$D$2:$D1000,N$4,'SALES REPORT of 3 months'!$E$2:$E1000,$B40)</f>
        <v>0</v>
      </c>
      <c r="O40" s="1">
        <f>SUMIFS('SALES REPORT of 3 months'!$F$2:$F1000,'SALES REPORT of 3 months'!$D$2:$D1000,O$4,'SALES REPORT of 3 months'!$E$2:$E1000,$B40)</f>
        <v>0</v>
      </c>
      <c r="P40" s="1">
        <f>SUMIFS('SALES REPORT of 3 months'!$F$2:$F1000,'SALES REPORT of 3 months'!$D$2:$D1000,P$4,'SALES REPORT of 3 months'!$E$2:$E1000,$B40)</f>
        <v>0</v>
      </c>
      <c r="Q40" s="1">
        <f>SUMIFS('SALES REPORT of 3 months'!$F$2:$F1000,'SALES REPORT of 3 months'!$D$2:$D1000,Q$4,'SALES REPORT of 3 months'!$E$2:$E1000,$B40)</f>
        <v>0</v>
      </c>
      <c r="R40" s="1">
        <f>SUMIFS('SALES REPORT of 3 months'!$F$2:$F1000,'SALES REPORT of 3 months'!$D$2:$D1000,R$4,'SALES REPORT of 3 months'!$E$2:$E1000,$B40)</f>
        <v>0</v>
      </c>
    </row>
    <row r="41" ht="15.75" customHeight="1">
      <c r="B41" s="9" t="s">
        <v>273</v>
      </c>
      <c r="C41" s="1">
        <f>SUMIFS('SALES REPORT of 3 months'!$F$2:$F1000,'SALES REPORT of 3 months'!$D$2:$D1000,C$4,'SALES REPORT of 3 months'!$E$2:$E1000,$B41)</f>
        <v>0</v>
      </c>
      <c r="D41" s="1">
        <f>SUMIFS('SALES REPORT of 3 months'!$F$2:$F1000,'SALES REPORT of 3 months'!$D$2:$D1000,D$4,'SALES REPORT of 3 months'!$E$2:$E1000,$B41)</f>
        <v>0</v>
      </c>
      <c r="E41" s="1">
        <f>SUMIFS('SALES REPORT of 3 months'!$F$2:$F1000,'SALES REPORT of 3 months'!$D$2:$D1000,E$4,'SALES REPORT of 3 months'!$E$2:$E1000,$B41)</f>
        <v>0</v>
      </c>
      <c r="F41" s="1">
        <f>SUMIFS('SALES REPORT of 3 months'!$F$2:$F1000,'SALES REPORT of 3 months'!$D$2:$D1000,F$4,'SALES REPORT of 3 months'!$E$2:$E1000,$B41)</f>
        <v>0</v>
      </c>
      <c r="G41" s="1">
        <f>SUMIFS('SALES REPORT of 3 months'!$F$2:$F1000,'SALES REPORT of 3 months'!$D$2:$D1000,G$4,'SALES REPORT of 3 months'!$E$2:$E1000,$B41)</f>
        <v>1</v>
      </c>
      <c r="H41" s="1">
        <f>SUMIFS('SALES REPORT of 3 months'!$F$2:$F1000,'SALES REPORT of 3 months'!$D$2:$D1000,H$4,'SALES REPORT of 3 months'!$E$2:$E1000,$B41)</f>
        <v>0</v>
      </c>
      <c r="I41" s="1">
        <f>SUMIFS('SALES REPORT of 3 months'!$F$2:$F1000,'SALES REPORT of 3 months'!$D$2:$D1000,I$4,'SALES REPORT of 3 months'!$E$2:$E1000,$B41)</f>
        <v>0</v>
      </c>
      <c r="J41" s="1">
        <f>SUMIFS('SALES REPORT of 3 months'!$F$2:$F1000,'SALES REPORT of 3 months'!$D$2:$D1000,J$4,'SALES REPORT of 3 months'!$E$2:$E1000,$B41)</f>
        <v>0</v>
      </c>
      <c r="K41" s="1">
        <f>SUMIFS('SALES REPORT of 3 months'!$F$2:$F1000,'SALES REPORT of 3 months'!$D$2:$D1000,K$4,'SALES REPORT of 3 months'!$E$2:$E1000,$B41)</f>
        <v>0</v>
      </c>
      <c r="L41" s="1">
        <f>SUMIFS('SALES REPORT of 3 months'!$F$2:$F1000,'SALES REPORT of 3 months'!$D$2:$D1000,L$4,'SALES REPORT of 3 months'!$E$2:$E1000,$B41)</f>
        <v>0</v>
      </c>
      <c r="M41" s="1">
        <f>SUMIFS('SALES REPORT of 3 months'!$F$2:$F1000,'SALES REPORT of 3 months'!$D$2:$D1000,M$4,'SALES REPORT of 3 months'!$E$2:$E1000,$B41)</f>
        <v>0</v>
      </c>
      <c r="N41" s="1">
        <f>SUMIFS('SALES REPORT of 3 months'!$F$2:$F1000,'SALES REPORT of 3 months'!$D$2:$D1000,N$4,'SALES REPORT of 3 months'!$E$2:$E1000,$B41)</f>
        <v>0</v>
      </c>
      <c r="O41" s="1">
        <f>SUMIFS('SALES REPORT of 3 months'!$F$2:$F1000,'SALES REPORT of 3 months'!$D$2:$D1000,O$4,'SALES REPORT of 3 months'!$E$2:$E1000,$B41)</f>
        <v>0</v>
      </c>
      <c r="P41" s="1">
        <f>SUMIFS('SALES REPORT of 3 months'!$F$2:$F1000,'SALES REPORT of 3 months'!$D$2:$D1000,P$4,'SALES REPORT of 3 months'!$E$2:$E1000,$B41)</f>
        <v>0</v>
      </c>
      <c r="Q41" s="1">
        <f>SUMIFS('SALES REPORT of 3 months'!$F$2:$F1000,'SALES REPORT of 3 months'!$D$2:$D1000,Q$4,'SALES REPORT of 3 months'!$E$2:$E1000,$B41)</f>
        <v>0</v>
      </c>
      <c r="R41" s="1">
        <f>SUMIFS('SALES REPORT of 3 months'!$F$2:$F1000,'SALES REPORT of 3 months'!$D$2:$D1000,R$4,'SALES REPORT of 3 months'!$E$2:$E1000,$B41)</f>
        <v>0</v>
      </c>
    </row>
    <row r="42" ht="15.75" customHeight="1">
      <c r="B42" s="9" t="s">
        <v>94</v>
      </c>
      <c r="C42" s="1">
        <f>SUMIFS('SALES REPORT of 3 months'!$F$2:$F1000,'SALES REPORT of 3 months'!$D$2:$D1000,C$4,'SALES REPORT of 3 months'!$E$2:$E1000,$B42)</f>
        <v>0</v>
      </c>
      <c r="D42" s="1">
        <f>SUMIFS('SALES REPORT of 3 months'!$F$2:$F1000,'SALES REPORT of 3 months'!$D$2:$D1000,D$4,'SALES REPORT of 3 months'!$E$2:$E1000,$B42)</f>
        <v>0</v>
      </c>
      <c r="E42" s="1">
        <f>SUMIFS('SALES REPORT of 3 months'!$F$2:$F1000,'SALES REPORT of 3 months'!$D$2:$D1000,E$4,'SALES REPORT of 3 months'!$E$2:$E1000,$B42)</f>
        <v>0</v>
      </c>
      <c r="F42" s="1">
        <f>SUMIFS('SALES REPORT of 3 months'!$F$2:$F1000,'SALES REPORT of 3 months'!$D$2:$D1000,F$4,'SALES REPORT of 3 months'!$E$2:$E1000,$B42)</f>
        <v>0</v>
      </c>
      <c r="G42" s="1">
        <f>SUMIFS('SALES REPORT of 3 months'!$F$2:$F1000,'SALES REPORT of 3 months'!$D$2:$D1000,G$4,'SALES REPORT of 3 months'!$E$2:$E1000,$B42)</f>
        <v>2</v>
      </c>
      <c r="H42" s="1">
        <f>SUMIFS('SALES REPORT of 3 months'!$F$2:$F1000,'SALES REPORT of 3 months'!$D$2:$D1000,H$4,'SALES REPORT of 3 months'!$E$2:$E1000,$B42)</f>
        <v>0</v>
      </c>
      <c r="I42" s="1">
        <f>SUMIFS('SALES REPORT of 3 months'!$F$2:$F1000,'SALES REPORT of 3 months'!$D$2:$D1000,I$4,'SALES REPORT of 3 months'!$E$2:$E1000,$B42)</f>
        <v>0</v>
      </c>
      <c r="J42" s="1">
        <f>SUMIFS('SALES REPORT of 3 months'!$F$2:$F1000,'SALES REPORT of 3 months'!$D$2:$D1000,J$4,'SALES REPORT of 3 months'!$E$2:$E1000,$B42)</f>
        <v>0</v>
      </c>
      <c r="K42" s="1">
        <f>SUMIFS('SALES REPORT of 3 months'!$F$2:$F1000,'SALES REPORT of 3 months'!$D$2:$D1000,K$4,'SALES REPORT of 3 months'!$E$2:$E1000,$B42)</f>
        <v>0</v>
      </c>
      <c r="L42" s="1">
        <f>SUMIFS('SALES REPORT of 3 months'!$F$2:$F1000,'SALES REPORT of 3 months'!$D$2:$D1000,L$4,'SALES REPORT of 3 months'!$E$2:$E1000,$B42)</f>
        <v>0</v>
      </c>
      <c r="M42" s="1">
        <f>SUMIFS('SALES REPORT of 3 months'!$F$2:$F1000,'SALES REPORT of 3 months'!$D$2:$D1000,M$4,'SALES REPORT of 3 months'!$E$2:$E1000,$B42)</f>
        <v>0</v>
      </c>
      <c r="N42" s="1">
        <f>SUMIFS('SALES REPORT of 3 months'!$F$2:$F1000,'SALES REPORT of 3 months'!$D$2:$D1000,N$4,'SALES REPORT of 3 months'!$E$2:$E1000,$B42)</f>
        <v>0</v>
      </c>
      <c r="O42" s="1">
        <f>SUMIFS('SALES REPORT of 3 months'!$F$2:$F1000,'SALES REPORT of 3 months'!$D$2:$D1000,O$4,'SALES REPORT of 3 months'!$E$2:$E1000,$B42)</f>
        <v>1</v>
      </c>
      <c r="P42" s="1">
        <f>SUMIFS('SALES REPORT of 3 months'!$F$2:$F1000,'SALES REPORT of 3 months'!$D$2:$D1000,P$4,'SALES REPORT of 3 months'!$E$2:$E1000,$B42)</f>
        <v>0</v>
      </c>
      <c r="Q42" s="1">
        <f>SUMIFS('SALES REPORT of 3 months'!$F$2:$F1000,'SALES REPORT of 3 months'!$D$2:$D1000,Q$4,'SALES REPORT of 3 months'!$E$2:$E1000,$B42)</f>
        <v>0</v>
      </c>
      <c r="R42" s="1">
        <f>SUMIFS('SALES REPORT of 3 months'!$F$2:$F1000,'SALES REPORT of 3 months'!$D$2:$D1000,R$4,'SALES REPORT of 3 months'!$E$2:$E1000,$B42)</f>
        <v>0</v>
      </c>
    </row>
    <row r="43" ht="15.75" customHeight="1">
      <c r="B43" s="9" t="s">
        <v>274</v>
      </c>
      <c r="C43" s="1">
        <f>SUMIFS('SALES REPORT of 3 months'!$F$2:$F1000,'SALES REPORT of 3 months'!$D$2:$D1000,C$4,'SALES REPORT of 3 months'!$E$2:$E1000,$B43)</f>
        <v>0</v>
      </c>
      <c r="D43" s="1">
        <f>SUMIFS('SALES REPORT of 3 months'!$F$2:$F1000,'SALES REPORT of 3 months'!$D$2:$D1000,D$4,'SALES REPORT of 3 months'!$E$2:$E1000,$B43)</f>
        <v>0</v>
      </c>
      <c r="E43" s="1">
        <f>SUMIFS('SALES REPORT of 3 months'!$F$2:$F1000,'SALES REPORT of 3 months'!$D$2:$D1000,E$4,'SALES REPORT of 3 months'!$E$2:$E1000,$B43)</f>
        <v>1</v>
      </c>
      <c r="F43" s="1">
        <f>SUMIFS('SALES REPORT of 3 months'!$F$2:$F1000,'SALES REPORT of 3 months'!$D$2:$D1000,F$4,'SALES REPORT of 3 months'!$E$2:$E1000,$B43)</f>
        <v>0</v>
      </c>
      <c r="G43" s="1">
        <f>SUMIFS('SALES REPORT of 3 months'!$F$2:$F1000,'SALES REPORT of 3 months'!$D$2:$D1000,G$4,'SALES REPORT of 3 months'!$E$2:$E1000,$B43)</f>
        <v>0</v>
      </c>
      <c r="H43" s="1">
        <f>SUMIFS('SALES REPORT of 3 months'!$F$2:$F1000,'SALES REPORT of 3 months'!$D$2:$D1000,H$4,'SALES REPORT of 3 months'!$E$2:$E1000,$B43)</f>
        <v>0</v>
      </c>
      <c r="I43" s="1">
        <f>SUMIFS('SALES REPORT of 3 months'!$F$2:$F1000,'SALES REPORT of 3 months'!$D$2:$D1000,I$4,'SALES REPORT of 3 months'!$E$2:$E1000,$B43)</f>
        <v>0</v>
      </c>
      <c r="J43" s="1">
        <f>SUMIFS('SALES REPORT of 3 months'!$F$2:$F1000,'SALES REPORT of 3 months'!$D$2:$D1000,J$4,'SALES REPORT of 3 months'!$E$2:$E1000,$B43)</f>
        <v>0</v>
      </c>
      <c r="K43" s="1">
        <f>SUMIFS('SALES REPORT of 3 months'!$F$2:$F1000,'SALES REPORT of 3 months'!$D$2:$D1000,K$4,'SALES REPORT of 3 months'!$E$2:$E1000,$B43)</f>
        <v>0</v>
      </c>
      <c r="L43" s="1">
        <f>SUMIFS('SALES REPORT of 3 months'!$F$2:$F1000,'SALES REPORT of 3 months'!$D$2:$D1000,L$4,'SALES REPORT of 3 months'!$E$2:$E1000,$B43)</f>
        <v>0</v>
      </c>
      <c r="M43" s="1">
        <f>SUMIFS('SALES REPORT of 3 months'!$F$2:$F1000,'SALES REPORT of 3 months'!$D$2:$D1000,M$4,'SALES REPORT of 3 months'!$E$2:$E1000,$B43)</f>
        <v>0</v>
      </c>
      <c r="N43" s="1">
        <f>SUMIFS('SALES REPORT of 3 months'!$F$2:$F1000,'SALES REPORT of 3 months'!$D$2:$D1000,N$4,'SALES REPORT of 3 months'!$E$2:$E1000,$B43)</f>
        <v>0</v>
      </c>
      <c r="O43" s="1">
        <f>SUMIFS('SALES REPORT of 3 months'!$F$2:$F1000,'SALES REPORT of 3 months'!$D$2:$D1000,O$4,'SALES REPORT of 3 months'!$E$2:$E1000,$B43)</f>
        <v>0</v>
      </c>
      <c r="P43" s="1">
        <f>SUMIFS('SALES REPORT of 3 months'!$F$2:$F1000,'SALES REPORT of 3 months'!$D$2:$D1000,P$4,'SALES REPORT of 3 months'!$E$2:$E1000,$B43)</f>
        <v>0</v>
      </c>
      <c r="Q43" s="1">
        <f>SUMIFS('SALES REPORT of 3 months'!$F$2:$F1000,'SALES REPORT of 3 months'!$D$2:$D1000,Q$4,'SALES REPORT of 3 months'!$E$2:$E1000,$B43)</f>
        <v>0</v>
      </c>
      <c r="R43" s="1">
        <f>SUMIFS('SALES REPORT of 3 months'!$F$2:$F1000,'SALES REPORT of 3 months'!$D$2:$D1000,R$4,'SALES REPORT of 3 months'!$E$2:$E1000,$B43)</f>
        <v>0</v>
      </c>
    </row>
    <row r="44" ht="15.75" customHeight="1">
      <c r="B44" s="9" t="s">
        <v>275</v>
      </c>
      <c r="C44" s="1">
        <f>SUMIFS('SALES REPORT of 3 months'!$F$2:$F1000,'SALES REPORT of 3 months'!$D$2:$D1000,C$4,'SALES REPORT of 3 months'!$E$2:$E1000,$B44)</f>
        <v>0</v>
      </c>
      <c r="D44" s="1">
        <f>SUMIFS('SALES REPORT of 3 months'!$F$2:$F1000,'SALES REPORT of 3 months'!$D$2:$D1000,D$4,'SALES REPORT of 3 months'!$E$2:$E1000,$B44)</f>
        <v>1</v>
      </c>
      <c r="E44" s="1">
        <f>SUMIFS('SALES REPORT of 3 months'!$F$2:$F1000,'SALES REPORT of 3 months'!$D$2:$D1000,E$4,'SALES REPORT of 3 months'!$E$2:$E1000,$B44)</f>
        <v>0</v>
      </c>
      <c r="F44" s="1">
        <f>SUMIFS('SALES REPORT of 3 months'!$F$2:$F1000,'SALES REPORT of 3 months'!$D$2:$D1000,F$4,'SALES REPORT of 3 months'!$E$2:$E1000,$B44)</f>
        <v>0</v>
      </c>
      <c r="G44" s="1">
        <f>SUMIFS('SALES REPORT of 3 months'!$F$2:$F1000,'SALES REPORT of 3 months'!$D$2:$D1000,G$4,'SALES REPORT of 3 months'!$E$2:$E1000,$B44)</f>
        <v>0</v>
      </c>
      <c r="H44" s="1">
        <f>SUMIFS('SALES REPORT of 3 months'!$F$2:$F1000,'SALES REPORT of 3 months'!$D$2:$D1000,H$4,'SALES REPORT of 3 months'!$E$2:$E1000,$B44)</f>
        <v>0</v>
      </c>
      <c r="I44" s="1">
        <f>SUMIFS('SALES REPORT of 3 months'!$F$2:$F1000,'SALES REPORT of 3 months'!$D$2:$D1000,I$4,'SALES REPORT of 3 months'!$E$2:$E1000,$B44)</f>
        <v>0</v>
      </c>
      <c r="J44" s="1">
        <f>SUMIFS('SALES REPORT of 3 months'!$F$2:$F1000,'SALES REPORT of 3 months'!$D$2:$D1000,J$4,'SALES REPORT of 3 months'!$E$2:$E1000,$B44)</f>
        <v>0</v>
      </c>
      <c r="K44" s="1">
        <f>SUMIFS('SALES REPORT of 3 months'!$F$2:$F1000,'SALES REPORT of 3 months'!$D$2:$D1000,K$4,'SALES REPORT of 3 months'!$E$2:$E1000,$B44)</f>
        <v>0</v>
      </c>
      <c r="L44" s="1">
        <f>SUMIFS('SALES REPORT of 3 months'!$F$2:$F1000,'SALES REPORT of 3 months'!$D$2:$D1000,L$4,'SALES REPORT of 3 months'!$E$2:$E1000,$B44)</f>
        <v>0</v>
      </c>
      <c r="M44" s="1">
        <f>SUMIFS('SALES REPORT of 3 months'!$F$2:$F1000,'SALES REPORT of 3 months'!$D$2:$D1000,M$4,'SALES REPORT of 3 months'!$E$2:$E1000,$B44)</f>
        <v>0</v>
      </c>
      <c r="N44" s="1">
        <f>SUMIFS('SALES REPORT of 3 months'!$F$2:$F1000,'SALES REPORT of 3 months'!$D$2:$D1000,N$4,'SALES REPORT of 3 months'!$E$2:$E1000,$B44)</f>
        <v>0</v>
      </c>
      <c r="O44" s="1">
        <f>SUMIFS('SALES REPORT of 3 months'!$F$2:$F1000,'SALES REPORT of 3 months'!$D$2:$D1000,O$4,'SALES REPORT of 3 months'!$E$2:$E1000,$B44)</f>
        <v>0</v>
      </c>
      <c r="P44" s="1">
        <f>SUMIFS('SALES REPORT of 3 months'!$F$2:$F1000,'SALES REPORT of 3 months'!$D$2:$D1000,P$4,'SALES REPORT of 3 months'!$E$2:$E1000,$B44)</f>
        <v>0</v>
      </c>
      <c r="Q44" s="1">
        <f>SUMIFS('SALES REPORT of 3 months'!$F$2:$F1000,'SALES REPORT of 3 months'!$D$2:$D1000,Q$4,'SALES REPORT of 3 months'!$E$2:$E1000,$B44)</f>
        <v>0</v>
      </c>
      <c r="R44" s="1">
        <f>SUMIFS('SALES REPORT of 3 months'!$F$2:$F1000,'SALES REPORT of 3 months'!$D$2:$D1000,R$4,'SALES REPORT of 3 months'!$E$2:$E1000,$B44)</f>
        <v>0</v>
      </c>
    </row>
    <row r="45" ht="15.75" customHeight="1">
      <c r="B45" s="9" t="s">
        <v>276</v>
      </c>
      <c r="C45" s="1">
        <f>SUMIFS('SALES REPORT of 3 months'!$F$2:$F1000,'SALES REPORT of 3 months'!$D$2:$D1000,C$4,'SALES REPORT of 3 months'!$E$2:$E1000,$B45)</f>
        <v>0</v>
      </c>
      <c r="D45" s="1">
        <f>SUMIFS('SALES REPORT of 3 months'!$F$2:$F1000,'SALES REPORT of 3 months'!$D$2:$D1000,D$4,'SALES REPORT of 3 months'!$E$2:$E1000,$B45)</f>
        <v>1</v>
      </c>
      <c r="E45" s="1">
        <f>SUMIFS('SALES REPORT of 3 months'!$F$2:$F1000,'SALES REPORT of 3 months'!$D$2:$D1000,E$4,'SALES REPORT of 3 months'!$E$2:$E1000,$B45)</f>
        <v>0</v>
      </c>
      <c r="F45" s="1">
        <f>SUMIFS('SALES REPORT of 3 months'!$F$2:$F1000,'SALES REPORT of 3 months'!$D$2:$D1000,F$4,'SALES REPORT of 3 months'!$E$2:$E1000,$B45)</f>
        <v>0</v>
      </c>
      <c r="G45" s="1">
        <f>SUMIFS('SALES REPORT of 3 months'!$F$2:$F1000,'SALES REPORT of 3 months'!$D$2:$D1000,G$4,'SALES REPORT of 3 months'!$E$2:$E1000,$B45)</f>
        <v>0</v>
      </c>
      <c r="H45" s="1">
        <f>SUMIFS('SALES REPORT of 3 months'!$F$2:$F1000,'SALES REPORT of 3 months'!$D$2:$D1000,H$4,'SALES REPORT of 3 months'!$E$2:$E1000,$B45)</f>
        <v>0</v>
      </c>
      <c r="I45" s="1">
        <f>SUMIFS('SALES REPORT of 3 months'!$F$2:$F1000,'SALES REPORT of 3 months'!$D$2:$D1000,I$4,'SALES REPORT of 3 months'!$E$2:$E1000,$B45)</f>
        <v>0</v>
      </c>
      <c r="J45" s="1">
        <f>SUMIFS('SALES REPORT of 3 months'!$F$2:$F1000,'SALES REPORT of 3 months'!$D$2:$D1000,J$4,'SALES REPORT of 3 months'!$E$2:$E1000,$B45)</f>
        <v>0</v>
      </c>
      <c r="K45" s="1">
        <f>SUMIFS('SALES REPORT of 3 months'!$F$2:$F1000,'SALES REPORT of 3 months'!$D$2:$D1000,K$4,'SALES REPORT of 3 months'!$E$2:$E1000,$B45)</f>
        <v>0</v>
      </c>
      <c r="L45" s="1">
        <f>SUMIFS('SALES REPORT of 3 months'!$F$2:$F1000,'SALES REPORT of 3 months'!$D$2:$D1000,L$4,'SALES REPORT of 3 months'!$E$2:$E1000,$B45)</f>
        <v>0</v>
      </c>
      <c r="M45" s="1">
        <f>SUMIFS('SALES REPORT of 3 months'!$F$2:$F1000,'SALES REPORT of 3 months'!$D$2:$D1000,M$4,'SALES REPORT of 3 months'!$E$2:$E1000,$B45)</f>
        <v>0</v>
      </c>
      <c r="N45" s="1">
        <f>SUMIFS('SALES REPORT of 3 months'!$F$2:$F1000,'SALES REPORT of 3 months'!$D$2:$D1000,N$4,'SALES REPORT of 3 months'!$E$2:$E1000,$B45)</f>
        <v>0</v>
      </c>
      <c r="O45" s="1">
        <f>SUMIFS('SALES REPORT of 3 months'!$F$2:$F1000,'SALES REPORT of 3 months'!$D$2:$D1000,O$4,'SALES REPORT of 3 months'!$E$2:$E1000,$B45)</f>
        <v>0</v>
      </c>
      <c r="P45" s="1">
        <f>SUMIFS('SALES REPORT of 3 months'!$F$2:$F1000,'SALES REPORT of 3 months'!$D$2:$D1000,P$4,'SALES REPORT of 3 months'!$E$2:$E1000,$B45)</f>
        <v>0</v>
      </c>
      <c r="Q45" s="1">
        <f>SUMIFS('SALES REPORT of 3 months'!$F$2:$F1000,'SALES REPORT of 3 months'!$D$2:$D1000,Q$4,'SALES REPORT of 3 months'!$E$2:$E1000,$B45)</f>
        <v>0</v>
      </c>
      <c r="R45" s="1">
        <f>SUMIFS('SALES REPORT of 3 months'!$F$2:$F1000,'SALES REPORT of 3 months'!$D$2:$D1000,R$4,'SALES REPORT of 3 months'!$E$2:$E1000,$B45)</f>
        <v>0</v>
      </c>
    </row>
    <row r="46" ht="15.75" customHeight="1">
      <c r="B46" s="9" t="s">
        <v>277</v>
      </c>
      <c r="C46" s="1">
        <f>SUMIFS('SALES REPORT of 3 months'!$F$2:$F1000,'SALES REPORT of 3 months'!$D$2:$D1000,C$4,'SALES REPORT of 3 months'!$E$2:$E1000,$B46)</f>
        <v>0</v>
      </c>
      <c r="D46" s="1">
        <f>SUMIFS('SALES REPORT of 3 months'!$F$2:$F1000,'SALES REPORT of 3 months'!$D$2:$D1000,D$4,'SALES REPORT of 3 months'!$E$2:$E1000,$B46)</f>
        <v>2</v>
      </c>
      <c r="E46" s="1">
        <f>SUMIFS('SALES REPORT of 3 months'!$F$2:$F1000,'SALES REPORT of 3 months'!$D$2:$D1000,E$4,'SALES REPORT of 3 months'!$E$2:$E1000,$B46)</f>
        <v>0</v>
      </c>
      <c r="F46" s="1">
        <f>SUMIFS('SALES REPORT of 3 months'!$F$2:$F1000,'SALES REPORT of 3 months'!$D$2:$D1000,F$4,'SALES REPORT of 3 months'!$E$2:$E1000,$B46)</f>
        <v>0</v>
      </c>
      <c r="G46" s="1">
        <f>SUMIFS('SALES REPORT of 3 months'!$F$2:$F1000,'SALES REPORT of 3 months'!$D$2:$D1000,G$4,'SALES REPORT of 3 months'!$E$2:$E1000,$B46)</f>
        <v>0</v>
      </c>
      <c r="H46" s="1">
        <f>SUMIFS('SALES REPORT of 3 months'!$F$2:$F1000,'SALES REPORT of 3 months'!$D$2:$D1000,H$4,'SALES REPORT of 3 months'!$E$2:$E1000,$B46)</f>
        <v>0</v>
      </c>
      <c r="I46" s="1">
        <f>SUMIFS('SALES REPORT of 3 months'!$F$2:$F1000,'SALES REPORT of 3 months'!$D$2:$D1000,I$4,'SALES REPORT of 3 months'!$E$2:$E1000,$B46)</f>
        <v>0</v>
      </c>
      <c r="J46" s="1">
        <f>SUMIFS('SALES REPORT of 3 months'!$F$2:$F1000,'SALES REPORT of 3 months'!$D$2:$D1000,J$4,'SALES REPORT of 3 months'!$E$2:$E1000,$B46)</f>
        <v>0</v>
      </c>
      <c r="K46" s="1">
        <f>SUMIFS('SALES REPORT of 3 months'!$F$2:$F1000,'SALES REPORT of 3 months'!$D$2:$D1000,K$4,'SALES REPORT of 3 months'!$E$2:$E1000,$B46)</f>
        <v>0</v>
      </c>
      <c r="L46" s="1">
        <f>SUMIFS('SALES REPORT of 3 months'!$F$2:$F1000,'SALES REPORT of 3 months'!$D$2:$D1000,L$4,'SALES REPORT of 3 months'!$E$2:$E1000,$B46)</f>
        <v>0</v>
      </c>
      <c r="M46" s="1">
        <f>SUMIFS('SALES REPORT of 3 months'!$F$2:$F1000,'SALES REPORT of 3 months'!$D$2:$D1000,M$4,'SALES REPORT of 3 months'!$E$2:$E1000,$B46)</f>
        <v>0</v>
      </c>
      <c r="N46" s="1">
        <f>SUMIFS('SALES REPORT of 3 months'!$F$2:$F1000,'SALES REPORT of 3 months'!$D$2:$D1000,N$4,'SALES REPORT of 3 months'!$E$2:$E1000,$B46)</f>
        <v>0</v>
      </c>
      <c r="O46" s="1">
        <f>SUMIFS('SALES REPORT of 3 months'!$F$2:$F1000,'SALES REPORT of 3 months'!$D$2:$D1000,O$4,'SALES REPORT of 3 months'!$E$2:$E1000,$B46)</f>
        <v>0</v>
      </c>
      <c r="P46" s="1">
        <f>SUMIFS('SALES REPORT of 3 months'!$F$2:$F1000,'SALES REPORT of 3 months'!$D$2:$D1000,P$4,'SALES REPORT of 3 months'!$E$2:$E1000,$B46)</f>
        <v>0</v>
      </c>
      <c r="Q46" s="1">
        <f>SUMIFS('SALES REPORT of 3 months'!$F$2:$F1000,'SALES REPORT of 3 months'!$D$2:$D1000,Q$4,'SALES REPORT of 3 months'!$E$2:$E1000,$B46)</f>
        <v>0</v>
      </c>
      <c r="R46" s="1">
        <f>SUMIFS('SALES REPORT of 3 months'!$F$2:$F1000,'SALES REPORT of 3 months'!$D$2:$D1000,R$4,'SALES REPORT of 3 months'!$E$2:$E1000,$B46)</f>
        <v>0</v>
      </c>
    </row>
    <row r="47" ht="15.75" customHeight="1">
      <c r="B47" s="9" t="s">
        <v>278</v>
      </c>
      <c r="C47" s="1">
        <f>SUMIFS('SALES REPORT of 3 months'!$F$2:$F1000,'SALES REPORT of 3 months'!$D$2:$D1000,C$4,'SALES REPORT of 3 months'!$E$2:$E1000,$B47)</f>
        <v>0</v>
      </c>
      <c r="D47" s="1">
        <f>SUMIFS('SALES REPORT of 3 months'!$F$2:$F1000,'SALES REPORT of 3 months'!$D$2:$D1000,D$4,'SALES REPORT of 3 months'!$E$2:$E1000,$B47)</f>
        <v>0</v>
      </c>
      <c r="E47" s="1">
        <f>SUMIFS('SALES REPORT of 3 months'!$F$2:$F1000,'SALES REPORT of 3 months'!$D$2:$D1000,E$4,'SALES REPORT of 3 months'!$E$2:$E1000,$B47)</f>
        <v>0</v>
      </c>
      <c r="F47" s="1">
        <f>SUMIFS('SALES REPORT of 3 months'!$F$2:$F1000,'SALES REPORT of 3 months'!$D$2:$D1000,F$4,'SALES REPORT of 3 months'!$E$2:$E1000,$B47)</f>
        <v>0</v>
      </c>
      <c r="G47" s="1">
        <f>SUMIFS('SALES REPORT of 3 months'!$F$2:$F1000,'SALES REPORT of 3 months'!$D$2:$D1000,G$4,'SALES REPORT of 3 months'!$E$2:$E1000,$B47)</f>
        <v>1</v>
      </c>
      <c r="H47" s="1">
        <f>SUMIFS('SALES REPORT of 3 months'!$F$2:$F1000,'SALES REPORT of 3 months'!$D$2:$D1000,H$4,'SALES REPORT of 3 months'!$E$2:$E1000,$B47)</f>
        <v>0</v>
      </c>
      <c r="I47" s="1">
        <f>SUMIFS('SALES REPORT of 3 months'!$F$2:$F1000,'SALES REPORT of 3 months'!$D$2:$D1000,I$4,'SALES REPORT of 3 months'!$E$2:$E1000,$B47)</f>
        <v>0</v>
      </c>
      <c r="J47" s="1">
        <f>SUMIFS('SALES REPORT of 3 months'!$F$2:$F1000,'SALES REPORT of 3 months'!$D$2:$D1000,J$4,'SALES REPORT of 3 months'!$E$2:$E1000,$B47)</f>
        <v>0</v>
      </c>
      <c r="K47" s="1">
        <f>SUMIFS('SALES REPORT of 3 months'!$F$2:$F1000,'SALES REPORT of 3 months'!$D$2:$D1000,K$4,'SALES REPORT of 3 months'!$E$2:$E1000,$B47)</f>
        <v>0</v>
      </c>
      <c r="L47" s="1">
        <f>SUMIFS('SALES REPORT of 3 months'!$F$2:$F1000,'SALES REPORT of 3 months'!$D$2:$D1000,L$4,'SALES REPORT of 3 months'!$E$2:$E1000,$B47)</f>
        <v>0</v>
      </c>
      <c r="M47" s="1">
        <f>SUMIFS('SALES REPORT of 3 months'!$F$2:$F1000,'SALES REPORT of 3 months'!$D$2:$D1000,M$4,'SALES REPORT of 3 months'!$E$2:$E1000,$B47)</f>
        <v>0</v>
      </c>
      <c r="N47" s="1">
        <f>SUMIFS('SALES REPORT of 3 months'!$F$2:$F1000,'SALES REPORT of 3 months'!$D$2:$D1000,N$4,'SALES REPORT of 3 months'!$E$2:$E1000,$B47)</f>
        <v>0</v>
      </c>
      <c r="O47" s="1">
        <f>SUMIFS('SALES REPORT of 3 months'!$F$2:$F1000,'SALES REPORT of 3 months'!$D$2:$D1000,O$4,'SALES REPORT of 3 months'!$E$2:$E1000,$B47)</f>
        <v>0</v>
      </c>
      <c r="P47" s="1">
        <f>SUMIFS('SALES REPORT of 3 months'!$F$2:$F1000,'SALES REPORT of 3 months'!$D$2:$D1000,P$4,'SALES REPORT of 3 months'!$E$2:$E1000,$B47)</f>
        <v>0</v>
      </c>
      <c r="Q47" s="1">
        <f>SUMIFS('SALES REPORT of 3 months'!$F$2:$F1000,'SALES REPORT of 3 months'!$D$2:$D1000,Q$4,'SALES REPORT of 3 months'!$E$2:$E1000,$B47)</f>
        <v>0</v>
      </c>
      <c r="R47" s="1">
        <f>SUMIFS('SALES REPORT of 3 months'!$F$2:$F1000,'SALES REPORT of 3 months'!$D$2:$D1000,R$4,'SALES REPORT of 3 months'!$E$2:$E1000,$B47)</f>
        <v>0</v>
      </c>
    </row>
    <row r="48" ht="15.75" customHeight="1">
      <c r="B48" s="9" t="s">
        <v>279</v>
      </c>
      <c r="C48" s="1">
        <f>SUMIFS('SALES REPORT of 3 months'!$F$2:$F1000,'SALES REPORT of 3 months'!$D$2:$D1000,C$4,'SALES REPORT of 3 months'!$E$2:$E1000,$B48)</f>
        <v>0</v>
      </c>
      <c r="D48" s="1">
        <f>SUMIFS('SALES REPORT of 3 months'!$F$2:$F1000,'SALES REPORT of 3 months'!$D$2:$D1000,D$4,'SALES REPORT of 3 months'!$E$2:$E1000,$B48)</f>
        <v>0</v>
      </c>
      <c r="E48" s="1">
        <f>SUMIFS('SALES REPORT of 3 months'!$F$2:$F1000,'SALES REPORT of 3 months'!$D$2:$D1000,E$4,'SALES REPORT of 3 months'!$E$2:$E1000,$B48)</f>
        <v>0</v>
      </c>
      <c r="F48" s="1">
        <f>SUMIFS('SALES REPORT of 3 months'!$F$2:$F1000,'SALES REPORT of 3 months'!$D$2:$D1000,F$4,'SALES REPORT of 3 months'!$E$2:$E1000,$B48)</f>
        <v>0</v>
      </c>
      <c r="G48" s="1">
        <f>SUMIFS('SALES REPORT of 3 months'!$F$2:$F1000,'SALES REPORT of 3 months'!$D$2:$D1000,G$4,'SALES REPORT of 3 months'!$E$2:$E1000,$B48)</f>
        <v>2</v>
      </c>
      <c r="H48" s="1">
        <f>SUMIFS('SALES REPORT of 3 months'!$F$2:$F1000,'SALES REPORT of 3 months'!$D$2:$D1000,H$4,'SALES REPORT of 3 months'!$E$2:$E1000,$B48)</f>
        <v>0</v>
      </c>
      <c r="I48" s="1">
        <f>SUMIFS('SALES REPORT of 3 months'!$F$2:$F1000,'SALES REPORT of 3 months'!$D$2:$D1000,I$4,'SALES REPORT of 3 months'!$E$2:$E1000,$B48)</f>
        <v>0</v>
      </c>
      <c r="J48" s="1">
        <f>SUMIFS('SALES REPORT of 3 months'!$F$2:$F1000,'SALES REPORT of 3 months'!$D$2:$D1000,J$4,'SALES REPORT of 3 months'!$E$2:$E1000,$B48)</f>
        <v>0</v>
      </c>
      <c r="K48" s="1">
        <f>SUMIFS('SALES REPORT of 3 months'!$F$2:$F1000,'SALES REPORT of 3 months'!$D$2:$D1000,K$4,'SALES REPORT of 3 months'!$E$2:$E1000,$B48)</f>
        <v>0</v>
      </c>
      <c r="L48" s="1">
        <f>SUMIFS('SALES REPORT of 3 months'!$F$2:$F1000,'SALES REPORT of 3 months'!$D$2:$D1000,L$4,'SALES REPORT of 3 months'!$E$2:$E1000,$B48)</f>
        <v>0</v>
      </c>
      <c r="M48" s="1">
        <f>SUMIFS('SALES REPORT of 3 months'!$F$2:$F1000,'SALES REPORT of 3 months'!$D$2:$D1000,M$4,'SALES REPORT of 3 months'!$E$2:$E1000,$B48)</f>
        <v>0</v>
      </c>
      <c r="N48" s="1">
        <f>SUMIFS('SALES REPORT of 3 months'!$F$2:$F1000,'SALES REPORT of 3 months'!$D$2:$D1000,N$4,'SALES REPORT of 3 months'!$E$2:$E1000,$B48)</f>
        <v>0</v>
      </c>
      <c r="O48" s="1">
        <f>SUMIFS('SALES REPORT of 3 months'!$F$2:$F1000,'SALES REPORT of 3 months'!$D$2:$D1000,O$4,'SALES REPORT of 3 months'!$E$2:$E1000,$B48)</f>
        <v>0</v>
      </c>
      <c r="P48" s="1">
        <f>SUMIFS('SALES REPORT of 3 months'!$F$2:$F1000,'SALES REPORT of 3 months'!$D$2:$D1000,P$4,'SALES REPORT of 3 months'!$E$2:$E1000,$B48)</f>
        <v>0</v>
      </c>
      <c r="Q48" s="1">
        <f>SUMIFS('SALES REPORT of 3 months'!$F$2:$F1000,'SALES REPORT of 3 months'!$D$2:$D1000,Q$4,'SALES REPORT of 3 months'!$E$2:$E1000,$B48)</f>
        <v>0</v>
      </c>
      <c r="R48" s="1">
        <f>SUMIFS('SALES REPORT of 3 months'!$F$2:$F1000,'SALES REPORT of 3 months'!$D$2:$D1000,R$4,'SALES REPORT of 3 months'!$E$2:$E1000,$B48)</f>
        <v>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2:M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8.38"/>
  </cols>
  <sheetData>
    <row r="1">
      <c r="A1" s="31" t="s">
        <v>356</v>
      </c>
      <c r="B1" s="31" t="s">
        <v>357</v>
      </c>
      <c r="C1" s="31" t="s">
        <v>358</v>
      </c>
      <c r="D1" s="31" t="s">
        <v>359</v>
      </c>
      <c r="E1" s="32" t="s">
        <v>360</v>
      </c>
      <c r="F1" s="33" t="s">
        <v>361</v>
      </c>
      <c r="G1" s="34" t="s">
        <v>362</v>
      </c>
    </row>
    <row r="2">
      <c r="A2" s="15">
        <v>238.0</v>
      </c>
      <c r="B2" s="15">
        <v>6.0</v>
      </c>
      <c r="C2" s="15">
        <v>12.0</v>
      </c>
      <c r="D2" s="15" t="s">
        <v>363</v>
      </c>
      <c r="E2" s="25" t="s">
        <v>364</v>
      </c>
      <c r="F2" s="34" t="s">
        <v>214</v>
      </c>
      <c r="G2" s="34" t="s">
        <v>365</v>
      </c>
    </row>
    <row r="3">
      <c r="A3" s="15"/>
      <c r="B3" s="15"/>
      <c r="C3" s="15"/>
      <c r="D3" s="15"/>
      <c r="E3" s="25"/>
      <c r="F3" s="34" t="s">
        <v>216</v>
      </c>
      <c r="G3" s="35"/>
    </row>
    <row r="4">
      <c r="A4" s="15"/>
      <c r="B4" s="15"/>
      <c r="C4" s="15"/>
      <c r="D4" s="15"/>
      <c r="E4" s="25"/>
      <c r="F4" s="34" t="s">
        <v>58</v>
      </c>
      <c r="G4" s="34"/>
    </row>
    <row r="5">
      <c r="A5" s="15"/>
      <c r="B5" s="15"/>
      <c r="C5" s="15"/>
      <c r="D5" s="15"/>
      <c r="E5" s="25"/>
      <c r="F5" s="34" t="s">
        <v>218</v>
      </c>
      <c r="G5" s="35"/>
    </row>
    <row r="6">
      <c r="A6" s="15"/>
      <c r="B6" s="15"/>
      <c r="C6" s="15"/>
      <c r="D6" s="15"/>
      <c r="E6" s="25"/>
      <c r="F6" s="34" t="s">
        <v>59</v>
      </c>
      <c r="G6" s="35"/>
    </row>
    <row r="7">
      <c r="A7" s="15"/>
      <c r="B7" s="15"/>
      <c r="C7" s="15"/>
      <c r="D7" s="15"/>
      <c r="E7" s="25"/>
      <c r="F7" s="34" t="s">
        <v>221</v>
      </c>
      <c r="G7" s="35"/>
    </row>
    <row r="8">
      <c r="A8" s="15"/>
      <c r="B8" s="15"/>
      <c r="C8" s="15"/>
      <c r="D8" s="15"/>
      <c r="E8" s="25"/>
      <c r="F8" s="34" t="s">
        <v>66</v>
      </c>
      <c r="G8" s="35"/>
    </row>
    <row r="9">
      <c r="A9" s="15"/>
      <c r="B9" s="15"/>
      <c r="C9" s="15"/>
      <c r="D9" s="15"/>
      <c r="E9" s="25"/>
      <c r="F9" s="34" t="s">
        <v>19</v>
      </c>
      <c r="G9" s="35"/>
    </row>
    <row r="10">
      <c r="A10" s="15"/>
      <c r="B10" s="15"/>
      <c r="C10" s="15"/>
      <c r="D10" s="15"/>
      <c r="E10" s="25"/>
      <c r="F10" s="34" t="s">
        <v>231</v>
      </c>
      <c r="G10" s="35"/>
    </row>
    <row r="11">
      <c r="A11" s="15"/>
      <c r="B11" s="15"/>
      <c r="C11" s="15"/>
      <c r="D11" s="15"/>
      <c r="E11" s="25"/>
      <c r="F11" s="34" t="s">
        <v>233</v>
      </c>
      <c r="G11" s="35"/>
    </row>
    <row r="12">
      <c r="A12" s="15"/>
      <c r="B12" s="15"/>
      <c r="C12" s="15"/>
      <c r="D12" s="15"/>
      <c r="E12" s="25"/>
      <c r="F12" s="34" t="s">
        <v>235</v>
      </c>
      <c r="G12" s="35"/>
    </row>
    <row r="13">
      <c r="A13" s="15"/>
      <c r="B13" s="15"/>
      <c r="C13" s="15"/>
      <c r="D13" s="15"/>
      <c r="E13" s="25"/>
      <c r="F13" s="34" t="s">
        <v>222</v>
      </c>
      <c r="G13" s="35"/>
    </row>
    <row r="14">
      <c r="A14" s="15"/>
      <c r="B14" s="15"/>
      <c r="C14" s="15"/>
      <c r="D14" s="15"/>
      <c r="E14" s="25"/>
      <c r="F14" s="34" t="s">
        <v>38</v>
      </c>
      <c r="G14" s="35"/>
    </row>
    <row r="15">
      <c r="A15" s="15"/>
      <c r="B15" s="15"/>
      <c r="C15" s="15"/>
      <c r="D15" s="15"/>
      <c r="E15" s="25"/>
      <c r="F15" s="34" t="s">
        <v>246</v>
      </c>
      <c r="G15" s="35"/>
    </row>
    <row r="16">
      <c r="A16" s="15"/>
      <c r="B16" s="15"/>
      <c r="C16" s="15"/>
      <c r="D16" s="15"/>
      <c r="E16" s="25"/>
      <c r="F16" s="34" t="s">
        <v>252</v>
      </c>
      <c r="G16" s="35"/>
    </row>
    <row r="17">
      <c r="A17" s="15"/>
      <c r="B17" s="15"/>
      <c r="C17" s="15"/>
      <c r="D17" s="15"/>
      <c r="E17" s="25"/>
      <c r="F17" s="34" t="s">
        <v>248</v>
      </c>
      <c r="G17" s="3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