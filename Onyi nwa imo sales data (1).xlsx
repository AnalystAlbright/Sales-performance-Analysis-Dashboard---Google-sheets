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hidden" name="dispatch_ledger (1)" sheetId="2" r:id="rId5"/>
    <sheet state="hidden" name="Sheet2" sheetId="3" r:id="rId6"/>
    <sheet state="hidden" name="Sheet6" sheetId="4" r:id="rId7"/>
    <sheet state="hidden" name="Sheet3" sheetId="5" r:id="rId8"/>
    <sheet state="hidden" name="Sheet4" sheetId="6" r:id="rId9"/>
    <sheet state="hidden" name="Sheet7" sheetId="7" r:id="rId10"/>
    <sheet state="visible" name="SALES REPORT" sheetId="8" r:id="rId11"/>
    <sheet state="visible" name="chart" sheetId="9" r:id="rId12"/>
    <sheet state="hidden" name="Sheet9" sheetId="10" r:id="rId13"/>
    <sheet state="hidden" name="Sheet8" sheetId="11" r:id="rId14"/>
    <sheet state="hidden" name="Sheet10" sheetId="12" r:id="rId15"/>
    <sheet state="hidden" name="customer contact" sheetId="13" r:id="rId16"/>
    <sheet state="visible" name="Sheet16" sheetId="14" r:id="rId17"/>
    <sheet state="visible" name="ED ANALYSIS" sheetId="15" r:id="rId18"/>
    <sheet state="visible" name="Sheet14" sheetId="16" r:id="rId19"/>
    <sheet state="visible" name="data dictionary" sheetId="17" r:id="rId20"/>
  </sheets>
  <definedNames>
    <definedName hidden="1" localSheetId="7" name="_xlnm._FilterDatabase">'SALES REPORT'!$A$1:$G$238</definedName>
    <definedName hidden="1" localSheetId="7" name="Z_7A0ECC78_C4D0_4E1F_964E_96B7EAA422BE_.wvu.FilterData">'SALES REPORT'!$A$1:$G$985</definedName>
  </definedNames>
  <calcPr/>
  <customWorkbookViews>
    <customWorkbookView activeSheetId="0" maximized="1" windowHeight="0" windowWidth="0" guid="{7A0ECC78-C4D0-4E1F-964E-96B7EAA422BE}" name="Table1 filter view"/>
  </customWorkbookViews>
  <extLst>
    <ext uri="GoogleSheetsCustomDataVersion2">
      <go:sheetsCustomData xmlns:go="http://customooxmlschemas.google.com/" r:id="rId21" roundtripDataChecksum="aacHpmVnzQ+ZIx5OQAaJPDwtT1ff0d4zEpqn2UD9geY="/>
    </ext>
  </extLst>
</workbook>
</file>

<file path=xl/sharedStrings.xml><?xml version="1.0" encoding="utf-8"?>
<sst xmlns="http://schemas.openxmlformats.org/spreadsheetml/2006/main" count="2333" uniqueCount="496">
  <si>
    <t>Phone Number</t>
  </si>
  <si>
    <t>Destination</t>
  </si>
  <si>
    <t>Product</t>
  </si>
  <si>
    <t>Products</t>
  </si>
  <si>
    <t>Quantity Dispatched</t>
  </si>
  <si>
    <t>Quantity</t>
  </si>
  <si>
    <t>Date</t>
  </si>
  <si>
    <t>Dispatch Date</t>
  </si>
  <si>
    <t>Enugu</t>
  </si>
  <si>
    <t>Onitsha</t>
  </si>
  <si>
    <t>Infection</t>
  </si>
  <si>
    <t>ulcer tea</t>
  </si>
  <si>
    <t>07026726707, 07026726204</t>
  </si>
  <si>
    <t>24/6/2026</t>
  </si>
  <si>
    <t>Lagos Malasolu</t>
  </si>
  <si>
    <t>Onitsha/Lagos</t>
  </si>
  <si>
    <t>Tea for men</t>
  </si>
  <si>
    <t>Kidney tea</t>
  </si>
  <si>
    <t>Slimming tea</t>
  </si>
  <si>
    <t>15/7/2026</t>
  </si>
  <si>
    <t>Injection tea</t>
  </si>
  <si>
    <t>tea for men</t>
  </si>
  <si>
    <t>Sugar Tea</t>
  </si>
  <si>
    <t>North Carolina USA</t>
  </si>
  <si>
    <t>BP Tea</t>
  </si>
  <si>
    <t>Lagos</t>
  </si>
  <si>
    <t>Olu</t>
  </si>
  <si>
    <t>Ulc</t>
  </si>
  <si>
    <t>Ayatala/Ija Lagos</t>
  </si>
  <si>
    <t>+1(336)5247158</t>
  </si>
  <si>
    <t>postrate tea</t>
  </si>
  <si>
    <t>Sugar</t>
  </si>
  <si>
    <t>infertility tea</t>
  </si>
  <si>
    <t>Asaba</t>
  </si>
  <si>
    <t>Slimming</t>
  </si>
  <si>
    <t>Sugar tea's</t>
  </si>
  <si>
    <t>Sperm Booster</t>
  </si>
  <si>
    <t>Prost</t>
  </si>
  <si>
    <t>ABA</t>
  </si>
  <si>
    <t>Pillow</t>
  </si>
  <si>
    <t>NSUKKA</t>
  </si>
  <si>
    <t>27/6/2026</t>
  </si>
  <si>
    <t>Aba</t>
  </si>
  <si>
    <t>Diabetes Tea</t>
  </si>
  <si>
    <t>Abba Gana</t>
  </si>
  <si>
    <t>Ulcer-tea</t>
  </si>
  <si>
    <t>Solar Green</t>
  </si>
  <si>
    <t>Umuahia</t>
  </si>
  <si>
    <t>Ulcer</t>
  </si>
  <si>
    <t>Sperm booster</t>
  </si>
  <si>
    <t>catarrh Tea</t>
  </si>
  <si>
    <t>Small Solar G.</t>
  </si>
  <si>
    <t>Cholestrol</t>
  </si>
  <si>
    <t>Bayelsa</t>
  </si>
  <si>
    <t>16/7/2026</t>
  </si>
  <si>
    <t>Lagos Ijobaye</t>
  </si>
  <si>
    <t>28/6/2026</t>
  </si>
  <si>
    <t>Liver Tea</t>
  </si>
  <si>
    <t>Slimming Tea</t>
  </si>
  <si>
    <t>BP tea</t>
  </si>
  <si>
    <t>mazamaza lash first</t>
  </si>
  <si>
    <t>Infection Tea</t>
  </si>
  <si>
    <t>Indigestion Ts</t>
  </si>
  <si>
    <t>29/6/2026</t>
  </si>
  <si>
    <t>Lagos, Mainland</t>
  </si>
  <si>
    <t>ulcer</t>
  </si>
  <si>
    <t>Immune Booster</t>
  </si>
  <si>
    <t>infection-tea</t>
  </si>
  <si>
    <t>Lagos Egbeda</t>
  </si>
  <si>
    <t>Diabb</t>
  </si>
  <si>
    <t>First lash</t>
  </si>
  <si>
    <t>13/8/2026</t>
  </si>
  <si>
    <t>Port harcourt</t>
  </si>
  <si>
    <t>diabetes</t>
  </si>
  <si>
    <t>Sugar tea</t>
  </si>
  <si>
    <t>Aba, Abia state</t>
  </si>
  <si>
    <t>Akwa Ibom</t>
  </si>
  <si>
    <t>Liver tea</t>
  </si>
  <si>
    <t>17/8/2026</t>
  </si>
  <si>
    <t>Okla</t>
  </si>
  <si>
    <t>Iyamho, Lagos</t>
  </si>
  <si>
    <t>Bp Tea</t>
  </si>
  <si>
    <t>Mushin, Lagos</t>
  </si>
  <si>
    <t>Ulcer Tea</t>
  </si>
  <si>
    <t>Orlu</t>
  </si>
  <si>
    <t>Light</t>
  </si>
  <si>
    <t>indigestion tea</t>
  </si>
  <si>
    <t>Umuahia, Abia state</t>
  </si>
  <si>
    <t>Infection Chon</t>
  </si>
  <si>
    <t>1 sachet</t>
  </si>
  <si>
    <t>anambra/onitsha</t>
  </si>
  <si>
    <t>20/8/2026</t>
  </si>
  <si>
    <t>Abuja</t>
  </si>
  <si>
    <t>30/6/2026</t>
  </si>
  <si>
    <t>Fibroid tea</t>
  </si>
  <si>
    <t>Ulcer tea</t>
  </si>
  <si>
    <t>17/12/2026</t>
  </si>
  <si>
    <t>Cholesterol Tea</t>
  </si>
  <si>
    <t>injection</t>
  </si>
  <si>
    <t>24/8/2026</t>
  </si>
  <si>
    <t>Prostate</t>
  </si>
  <si>
    <t>SLimming Tea</t>
  </si>
  <si>
    <t>1 Tin</t>
  </si>
  <si>
    <t>20/7/2026</t>
  </si>
  <si>
    <t>Tea for Men</t>
  </si>
  <si>
    <t>Lagos, Alafia</t>
  </si>
  <si>
    <t>Prostrate Tea</t>
  </si>
  <si>
    <t>21/7/2026</t>
  </si>
  <si>
    <t>Tea for Kidney</t>
  </si>
  <si>
    <t>Ajah, Lagos</t>
  </si>
  <si>
    <t>Tea for Liver</t>
  </si>
  <si>
    <t>151, Agu Dimdun</t>
  </si>
  <si>
    <t>Lagos alaba</t>
  </si>
  <si>
    <t>Prostrate tea</t>
  </si>
  <si>
    <t>mazamaza Lagos</t>
  </si>
  <si>
    <t>postrate-tea</t>
  </si>
  <si>
    <t>Juice Extractor</t>
  </si>
  <si>
    <t>Lavender skin</t>
  </si>
  <si>
    <t>mazamaza</t>
  </si>
  <si>
    <t>PH Water Line ABA</t>
  </si>
  <si>
    <t>Liver Cleanse</t>
  </si>
  <si>
    <t>Cholestrol tea</t>
  </si>
  <si>
    <t>PH Water Line</t>
  </si>
  <si>
    <t>Bp tea</t>
  </si>
  <si>
    <t>Small blender</t>
  </si>
  <si>
    <t>Awka</t>
  </si>
  <si>
    <t>Cholesterol</t>
  </si>
  <si>
    <t>Lagos Idimu</t>
  </si>
  <si>
    <t>21/12/2026</t>
  </si>
  <si>
    <t>NNEWI</t>
  </si>
  <si>
    <t>Prostrate</t>
  </si>
  <si>
    <t>23/7/2026</t>
  </si>
  <si>
    <t>23/1/2026</t>
  </si>
  <si>
    <t>23/11/2026</t>
  </si>
  <si>
    <t>P05/Font</t>
  </si>
  <si>
    <t>Sperm boost</t>
  </si>
  <si>
    <t>Phone number</t>
  </si>
  <si>
    <t>Date/Dispatcher number</t>
  </si>
  <si>
    <t>Lucky World (Lagos)</t>
  </si>
  <si>
    <t>25/7/2026</t>
  </si>
  <si>
    <t>Lucky World Lagos</t>
  </si>
  <si>
    <t>Lungs tea</t>
  </si>
  <si>
    <t>+1(214)7233147</t>
  </si>
  <si>
    <t>USA</t>
  </si>
  <si>
    <t>26/7/2026</t>
  </si>
  <si>
    <t>small kettle</t>
  </si>
  <si>
    <t>Binel</t>
  </si>
  <si>
    <t>Solar generator</t>
  </si>
  <si>
    <t>Kidney</t>
  </si>
  <si>
    <t>27/7/2026</t>
  </si>
  <si>
    <t>Abuja Gwarinpa</t>
  </si>
  <si>
    <t>Abuja Kubwa</t>
  </si>
  <si>
    <t>Pie Cream</t>
  </si>
  <si>
    <t>28/7/2026</t>
  </si>
  <si>
    <t>Lagos Mile12</t>
  </si>
  <si>
    <t>29/7/2026</t>
  </si>
  <si>
    <t>Fibroid</t>
  </si>
  <si>
    <t>Lagos Iyanapaja</t>
  </si>
  <si>
    <t>Cataract tea</t>
  </si>
  <si>
    <t>Pains tea</t>
  </si>
  <si>
    <t>ulcer Tea</t>
  </si>
  <si>
    <t>Immune System</t>
  </si>
  <si>
    <t>Warri</t>
  </si>
  <si>
    <t>Lagos Main</t>
  </si>
  <si>
    <t>Immune Tea</t>
  </si>
  <si>
    <t>Lagos main</t>
  </si>
  <si>
    <t>Cholesterol tea</t>
  </si>
  <si>
    <t>Minna</t>
  </si>
  <si>
    <t>Benin City</t>
  </si>
  <si>
    <t>Catarrak Tea</t>
  </si>
  <si>
    <t>Clipper</t>
  </si>
  <si>
    <t>Ikeja, Lagos</t>
  </si>
  <si>
    <t>Testosterone</t>
  </si>
  <si>
    <t>18/6/2026</t>
  </si>
  <si>
    <t>ABA, Onyerachi</t>
  </si>
  <si>
    <t>Ezeore, Ondo</t>
  </si>
  <si>
    <t>Pile Tea</t>
  </si>
  <si>
    <t>Bladder Tea</t>
  </si>
  <si>
    <t>Arthritis Tea</t>
  </si>
  <si>
    <t>Kidney Tea</t>
  </si>
  <si>
    <t>14/7/2026</t>
  </si>
  <si>
    <t>19/6/2026</t>
  </si>
  <si>
    <t>Nnewi</t>
  </si>
  <si>
    <t>Postrate Tea</t>
  </si>
  <si>
    <t>Anambra / Nnewi</t>
  </si>
  <si>
    <t>Fibroid Tea</t>
  </si>
  <si>
    <t>Lagos, Agege</t>
  </si>
  <si>
    <t>Zubru</t>
  </si>
  <si>
    <t>Alhaji Yusuf Lagos, Isolo way</t>
  </si>
  <si>
    <t>22/6/2026</t>
  </si>
  <si>
    <t>Antibiotic</t>
  </si>
  <si>
    <t>Mazmaz Lagos</t>
  </si>
  <si>
    <t>BP</t>
  </si>
  <si>
    <t>20/6/2026</t>
  </si>
  <si>
    <t>Ibadan, Lagos</t>
  </si>
  <si>
    <t>Car Airfresher</t>
  </si>
  <si>
    <t>Lucky Lekki, Lagos</t>
  </si>
  <si>
    <t>Okrika</t>
  </si>
  <si>
    <t>Okota, Lagos</t>
  </si>
  <si>
    <t>Power Bank</t>
  </si>
  <si>
    <t>Ebonyi State</t>
  </si>
  <si>
    <t>Solar General</t>
  </si>
  <si>
    <t>23/6/2026</t>
  </si>
  <si>
    <t>Oba</t>
  </si>
  <si>
    <t>Arthritis</t>
  </si>
  <si>
    <t>Boko Borno</t>
  </si>
  <si>
    <t>Ikorodu, Lagos</t>
  </si>
  <si>
    <t>Cele, Lagos</t>
  </si>
  <si>
    <t>Maza maza, Lagos</t>
  </si>
  <si>
    <t>Abuja, Gwagwalada</t>
  </si>
  <si>
    <t xml:space="preserve">;;  </t>
  </si>
  <si>
    <t xml:space="preserve"> ]</t>
  </si>
  <si>
    <t xml:space="preserve">state    </t>
  </si>
  <si>
    <t>orders</t>
  </si>
  <si>
    <t>by percentage</t>
  </si>
  <si>
    <t>DATE</t>
  </si>
  <si>
    <t>Abia</t>
  </si>
  <si>
    <t>Ondo</t>
  </si>
  <si>
    <t>Rivers</t>
  </si>
  <si>
    <t>Anambra</t>
  </si>
  <si>
    <t>Customer ID</t>
  </si>
  <si>
    <t>Uyo</t>
  </si>
  <si>
    <t>Borno</t>
  </si>
  <si>
    <t>Ebonyi</t>
  </si>
  <si>
    <t>N/a</t>
  </si>
  <si>
    <t>Usa</t>
  </si>
  <si>
    <t>Imo</t>
  </si>
  <si>
    <t>Delta</t>
  </si>
  <si>
    <t>product performance</t>
  </si>
  <si>
    <t>City</t>
  </si>
  <si>
    <t>State</t>
  </si>
  <si>
    <t>Cholestrol Tea</t>
  </si>
  <si>
    <t>Tea For Men</t>
  </si>
  <si>
    <t>Solar Generator</t>
  </si>
  <si>
    <t>Indigestion Tea</t>
  </si>
  <si>
    <t>Solar Generator small</t>
  </si>
  <si>
    <t>Lavender Skin</t>
  </si>
  <si>
    <t>Small Blender</t>
  </si>
  <si>
    <t>Anti aging Tea</t>
  </si>
  <si>
    <t>Infertility Tea</t>
  </si>
  <si>
    <t>Lucky David Lagos</t>
  </si>
  <si>
    <t>lugs tea</t>
  </si>
  <si>
    <t>+1(214)723314</t>
  </si>
  <si>
    <t>Lungs Tea</t>
  </si>
  <si>
    <t>Solar Panel</t>
  </si>
  <si>
    <t>Small Kettle</t>
  </si>
  <si>
    <t>Pile Cream</t>
  </si>
  <si>
    <t>Panel</t>
  </si>
  <si>
    <t>Cataract Tea</t>
  </si>
  <si>
    <t>Immune booster</t>
  </si>
  <si>
    <t>3.5Kva Solar Generator</t>
  </si>
  <si>
    <t>3 Kva Gen</t>
  </si>
  <si>
    <t>Address/Location</t>
  </si>
  <si>
    <t>3 Lens Camera</t>
  </si>
  <si>
    <t>Solar Charger (4G)</t>
  </si>
  <si>
    <t>Desktop Fan</t>
  </si>
  <si>
    <t>Quantity/Duration</t>
  </si>
  <si>
    <t>Tea For Kidney</t>
  </si>
  <si>
    <t>08036205454</t>
  </si>
  <si>
    <t>Tea For Bp</t>
  </si>
  <si>
    <t>FIRST TEN CUSTOMERS</t>
  </si>
  <si>
    <t>Abuja Lugbe</t>
  </si>
  <si>
    <t>Lagos Mazamaza</t>
  </si>
  <si>
    <t xml:space="preserve">Customer </t>
  </si>
  <si>
    <t>Benin</t>
  </si>
  <si>
    <t>Orders</t>
  </si>
  <si>
    <t>Lung</t>
  </si>
  <si>
    <t>Lagos iyanapaja</t>
  </si>
  <si>
    <t>Prost Tea</t>
  </si>
  <si>
    <t>Immune system</t>
  </si>
  <si>
    <t>LAGOS maza</t>
  </si>
  <si>
    <t>Immune tea</t>
  </si>
  <si>
    <t>Lagos mazamaza</t>
  </si>
  <si>
    <t>"</t>
  </si>
  <si>
    <t>Anka</t>
  </si>
  <si>
    <t>Lagos maza</t>
  </si>
  <si>
    <t>Piles</t>
  </si>
  <si>
    <t>Spermbooster</t>
  </si>
  <si>
    <t>Infection + Slim</t>
  </si>
  <si>
    <t>Slimming + Tea</t>
  </si>
  <si>
    <t>Infection + Tea</t>
  </si>
  <si>
    <t>Lagos, Festac</t>
  </si>
  <si>
    <t>Copper</t>
  </si>
  <si>
    <t>Lagos Estate</t>
  </si>
  <si>
    <t>BP + Tea</t>
  </si>
  <si>
    <t>15/8/2026</t>
  </si>
  <si>
    <t>Aba, Abia State</t>
  </si>
  <si>
    <t>B.p. Tea</t>
  </si>
  <si>
    <t>1 Sachet</t>
  </si>
  <si>
    <t>Prostate Tea</t>
  </si>
  <si>
    <t>08164386288</t>
  </si>
  <si>
    <t>09031212133</t>
  </si>
  <si>
    <t>09121633167</t>
  </si>
  <si>
    <t>08035619487</t>
  </si>
  <si>
    <t>08037620132</t>
  </si>
  <si>
    <t>08038499525</t>
  </si>
  <si>
    <t>08037262183</t>
  </si>
  <si>
    <t>08077490122</t>
  </si>
  <si>
    <t>08140942884</t>
  </si>
  <si>
    <t>08053719072</t>
  </si>
  <si>
    <t>Mazamaza</t>
  </si>
  <si>
    <t>09065620512</t>
  </si>
  <si>
    <t>09064521330</t>
  </si>
  <si>
    <t>Owerri</t>
  </si>
  <si>
    <t>08065839121</t>
  </si>
  <si>
    <t>Ikoyi</t>
  </si>
  <si>
    <t>B.P Tea</t>
  </si>
  <si>
    <t>Tea For Infection</t>
  </si>
  <si>
    <t>Tea For Sugar</t>
  </si>
  <si>
    <t>08035580668</t>
  </si>
  <si>
    <t>08119854427</t>
  </si>
  <si>
    <t>09045753713</t>
  </si>
  <si>
    <t>Yalualua</t>
  </si>
  <si>
    <t>08067563481</t>
  </si>
  <si>
    <t>Ezeore</t>
  </si>
  <si>
    <t>08036679485</t>
  </si>
  <si>
    <t>08035769601</t>
  </si>
  <si>
    <t>Love Tea</t>
  </si>
  <si>
    <t>08033914927</t>
  </si>
  <si>
    <t>08039361062</t>
  </si>
  <si>
    <t>07054883458</t>
  </si>
  <si>
    <t>08037329451</t>
  </si>
  <si>
    <t>08025088942</t>
  </si>
  <si>
    <t>09040570411</t>
  </si>
  <si>
    <t>09070520411</t>
  </si>
  <si>
    <t>07033720253</t>
  </si>
  <si>
    <t>08030828539</t>
  </si>
  <si>
    <t>08036642661</t>
  </si>
  <si>
    <t>08064623987</t>
  </si>
  <si>
    <t>08027285517</t>
  </si>
  <si>
    <t>08036709982</t>
  </si>
  <si>
    <t>08035981229</t>
  </si>
  <si>
    <t>09039964234</t>
  </si>
  <si>
    <t>07030454392</t>
  </si>
  <si>
    <t>08138175555</t>
  </si>
  <si>
    <t>07015529016</t>
  </si>
  <si>
    <t>Ikeja</t>
  </si>
  <si>
    <t>07064909871</t>
  </si>
  <si>
    <t>0703527445</t>
  </si>
  <si>
    <t>08065538774</t>
  </si>
  <si>
    <t>08035019487</t>
  </si>
  <si>
    <t>08036743639</t>
  </si>
  <si>
    <t>07029964824</t>
  </si>
  <si>
    <t>08037379461</t>
  </si>
  <si>
    <t>08140043724</t>
  </si>
  <si>
    <t>07030968451</t>
  </si>
  <si>
    <t>09020016225</t>
  </si>
  <si>
    <t>08030453808</t>
  </si>
  <si>
    <t>08161725902</t>
  </si>
  <si>
    <t>07069202677</t>
  </si>
  <si>
    <t>08068797832</t>
  </si>
  <si>
    <t>08037815531</t>
  </si>
  <si>
    <t>08037432361</t>
  </si>
  <si>
    <t>08037433367</t>
  </si>
  <si>
    <t>08067155115</t>
  </si>
  <si>
    <t>08069155175</t>
  </si>
  <si>
    <t xml:space="preserve"> 803365247158</t>
  </si>
  <si>
    <t>08055987440</t>
  </si>
  <si>
    <t>08105593152</t>
  </si>
  <si>
    <t>07033129893</t>
  </si>
  <si>
    <t>07033129894</t>
  </si>
  <si>
    <t>08063637793</t>
  </si>
  <si>
    <t>07034731166</t>
  </si>
  <si>
    <t>08032587950</t>
  </si>
  <si>
    <t>08060681137</t>
  </si>
  <si>
    <t>08141362251</t>
  </si>
  <si>
    <t>0704458442</t>
  </si>
  <si>
    <t>08034047224</t>
  </si>
  <si>
    <t>09169449197</t>
  </si>
  <si>
    <t>07044817710</t>
  </si>
  <si>
    <t>08063002287</t>
  </si>
  <si>
    <t>08137427436</t>
  </si>
  <si>
    <t>08069128133</t>
  </si>
  <si>
    <t>09137235655</t>
  </si>
  <si>
    <t>08038479838</t>
  </si>
  <si>
    <t>08038921564</t>
  </si>
  <si>
    <t>08068219822</t>
  </si>
  <si>
    <t>08095438453</t>
  </si>
  <si>
    <t>08032379882</t>
  </si>
  <si>
    <t>08132245081</t>
  </si>
  <si>
    <t>08107434150</t>
  </si>
  <si>
    <t>08039315785</t>
  </si>
  <si>
    <t>08035846063</t>
  </si>
  <si>
    <t>08032280343</t>
  </si>
  <si>
    <t>09044303019</t>
  </si>
  <si>
    <t>07071257348</t>
  </si>
  <si>
    <t>08069127003</t>
  </si>
  <si>
    <t>08133720253</t>
  </si>
  <si>
    <t>09074430301</t>
  </si>
  <si>
    <t>08105437011</t>
  </si>
  <si>
    <t>08146868132</t>
  </si>
  <si>
    <t>09163472705</t>
  </si>
  <si>
    <t>Portharcourt</t>
  </si>
  <si>
    <t>07060543708</t>
  </si>
  <si>
    <t>09032534163</t>
  </si>
  <si>
    <t>08032220343</t>
  </si>
  <si>
    <t>08039667706</t>
  </si>
  <si>
    <t>07067900985</t>
  </si>
  <si>
    <t>08097089018</t>
  </si>
  <si>
    <t>08033343151</t>
  </si>
  <si>
    <t>09014880117</t>
  </si>
  <si>
    <t>08136446085</t>
  </si>
  <si>
    <t>08032634229</t>
  </si>
  <si>
    <t>08034623817</t>
  </si>
  <si>
    <t>07046822557</t>
  </si>
  <si>
    <t>08135846163</t>
  </si>
  <si>
    <t>08035846163</t>
  </si>
  <si>
    <t>08035655076</t>
  </si>
  <si>
    <t>09037349461</t>
  </si>
  <si>
    <t>08034363923</t>
  </si>
  <si>
    <t>08034240881</t>
  </si>
  <si>
    <t>07071237348</t>
  </si>
  <si>
    <t>08163838250</t>
  </si>
  <si>
    <t>08035131868</t>
  </si>
  <si>
    <t>08063088411</t>
  </si>
  <si>
    <t>09036852785</t>
  </si>
  <si>
    <t>09024852188</t>
  </si>
  <si>
    <t>09161382849</t>
  </si>
  <si>
    <t>08034863417</t>
  </si>
  <si>
    <t>07039718944</t>
  </si>
  <si>
    <t>08163854758</t>
  </si>
  <si>
    <t>09030910073</t>
  </si>
  <si>
    <t>07024852183</t>
  </si>
  <si>
    <t>08024213214</t>
  </si>
  <si>
    <t>07039450433</t>
  </si>
  <si>
    <t>08061672050</t>
  </si>
  <si>
    <t>07030910093</t>
  </si>
  <si>
    <t>08032151901</t>
  </si>
  <si>
    <t>07036363534</t>
  </si>
  <si>
    <t>09054606524</t>
  </si>
  <si>
    <t>08065538714</t>
  </si>
  <si>
    <t>08033258175</t>
  </si>
  <si>
    <t>09165854758</t>
  </si>
  <si>
    <t>09034606524</t>
  </si>
  <si>
    <t>08064495983</t>
  </si>
  <si>
    <t>08163005469</t>
  </si>
  <si>
    <t>Agege</t>
  </si>
  <si>
    <t>QUESTIONS</t>
  </si>
  <si>
    <t>State performance according to orders</t>
  </si>
  <si>
    <t>State performance by customer conversion</t>
  </si>
  <si>
    <t>which state has the highest performance by percentage</t>
  </si>
  <si>
    <t>customer with the highest order</t>
  </si>
  <si>
    <t>top ten customers</t>
  </si>
  <si>
    <t>Ibadan</t>
  </si>
  <si>
    <t>product with the most sells</t>
  </si>
  <si>
    <t>product performance in states</t>
  </si>
  <si>
    <t>PRODUCT</t>
  </si>
  <si>
    <t>Customer id</t>
  </si>
  <si>
    <t>ORDERS</t>
  </si>
  <si>
    <t>1103</t>
  </si>
  <si>
    <t>10</t>
  </si>
  <si>
    <t>Alhaji Yusuf</t>
  </si>
  <si>
    <t>Lucky World</t>
  </si>
  <si>
    <t>Okota</t>
  </si>
  <si>
    <t>Gwagwalada</t>
  </si>
  <si>
    <t>1146</t>
  </si>
  <si>
    <t>Customer Id</t>
  </si>
  <si>
    <t>Boko</t>
  </si>
  <si>
    <t>Cele</t>
  </si>
  <si>
    <t>Ikorodu</t>
  </si>
  <si>
    <t>number of rows</t>
  </si>
  <si>
    <t>number of columns</t>
  </si>
  <si>
    <t>Number of States</t>
  </si>
  <si>
    <t>Date range</t>
  </si>
  <si>
    <t>month</t>
  </si>
  <si>
    <t>Names of states</t>
  </si>
  <si>
    <t>Customer Id range</t>
  </si>
  <si>
    <t>june 2026 -august 2026</t>
  </si>
  <si>
    <t>three months data</t>
  </si>
  <si>
    <t>1001-1146</t>
  </si>
  <si>
    <t>note that 1042 was not added in customer id</t>
  </si>
  <si>
    <t>Ayatala</t>
  </si>
  <si>
    <t xml:space="preserve">Abia </t>
  </si>
  <si>
    <t>Ijobaye</t>
  </si>
  <si>
    <t>Alaba</t>
  </si>
  <si>
    <t>Abbagana</t>
  </si>
  <si>
    <t>North Carolina</t>
  </si>
  <si>
    <t>151, Agu Junction</t>
  </si>
  <si>
    <t>Zabwa</t>
  </si>
  <si>
    <t>Malasolu</t>
  </si>
  <si>
    <t>Nsukka</t>
  </si>
  <si>
    <t>Alafia</t>
  </si>
  <si>
    <t>Total sales</t>
  </si>
  <si>
    <t>Total customers</t>
  </si>
  <si>
    <t>Total orders</t>
  </si>
  <si>
    <t>Idimu</t>
  </si>
  <si>
    <t>SALES PERFORMANCE DASHBOARD</t>
  </si>
  <si>
    <t>HIGHEST PERFORMING STATE</t>
  </si>
  <si>
    <t>Gwarimpa</t>
  </si>
  <si>
    <t>Kubwa</t>
  </si>
  <si>
    <t>Mile 12</t>
  </si>
  <si>
    <t>Iyanapaja</t>
  </si>
  <si>
    <t>Egbeda</t>
  </si>
  <si>
    <t>Iyamho</t>
  </si>
  <si>
    <t>Mushin</t>
  </si>
  <si>
    <t>Ajah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</si>
</sst>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/>
    <font>
      <b/>
      <sz val="11.0"/>
      <color theme="1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b/>
      <sz val="17.0"/>
      <color theme="1"/>
      <name val="Arial"/>
      <scheme val="minor"/>
    </font>
    <font>
      <b/>
      <sz val="4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0" xfId="0" applyBorder="1" applyFont="1" applyNumberFormat="1"/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2" fillId="0" fontId="2" numFmtId="0" xfId="0" applyAlignment="1" applyBorder="1" applyFont="1">
      <alignment readingOrder="0"/>
    </xf>
    <xf borderId="3" fillId="0" fontId="4" numFmtId="0" xfId="0" applyBorder="1" applyFont="1"/>
    <xf borderId="4" fillId="0" fontId="2" numFmtId="0" xfId="0" applyAlignment="1" applyBorder="1" applyFont="1">
      <alignment readingOrder="0"/>
    </xf>
    <xf borderId="4" fillId="0" fontId="2" numFmtId="49" xfId="0" applyBorder="1" applyFont="1" applyNumberFormat="1"/>
    <xf borderId="4" fillId="0" fontId="2" numFmtId="0" xfId="0" applyBorder="1" applyFont="1"/>
    <xf borderId="4" fillId="2" fontId="1" numFmtId="165" xfId="0" applyAlignment="1" applyBorder="1" applyFill="1" applyFont="1" applyNumberFormat="1">
      <alignment shrinkToFit="0" vertical="center" wrapText="0"/>
    </xf>
    <xf borderId="4" fillId="2" fontId="1" numFmtId="0" xfId="0" applyAlignment="1" applyBorder="1" applyFill="1" applyFont="1">
      <alignment shrinkToFit="0" vertical="center" wrapText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164" xfId="0" applyAlignment="1" applyFont="1" applyNumberFormat="1">
      <alignment readingOrder="0"/>
    </xf>
    <xf borderId="4" fillId="2" fontId="1" numFmtId="49" xfId="0" applyAlignment="1" applyBorder="1" applyFill="1" applyFont="1" applyNumberFormat="1">
      <alignment shrinkToFit="0" vertical="center" wrapText="0"/>
    </xf>
    <xf borderId="1" fillId="0" fontId="2" numFmtId="49" xfId="0" applyBorder="1" applyFont="1" applyNumberFormat="1"/>
    <xf borderId="4" fillId="2" fontId="1" numFmtId="0" xfId="0" applyAlignment="1" applyBorder="1" applyFill="1" applyFont="1">
      <alignment shrinkToFit="0" vertical="center" wrapText="0"/>
    </xf>
    <xf borderId="1" fillId="0" fontId="2" numFmtId="49" xfId="0" applyAlignment="1" applyBorder="1" applyFont="1" applyNumberFormat="1">
      <alignment readingOrder="0"/>
    </xf>
    <xf borderId="1" fillId="0" fontId="2" numFmtId="0" xfId="0" applyBorder="1" applyFont="1"/>
    <xf borderId="0" fillId="0" fontId="2" numFmtId="0" xfId="0" applyFont="1"/>
    <xf borderId="0" fillId="0" fontId="5" numFmtId="0" xfId="0" applyAlignment="1" applyFon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2" numFmtId="14" xfId="0" applyFont="1" applyNumberFormat="1"/>
    <xf borderId="0" fillId="0" fontId="2" numFmtId="0" xfId="0" applyFont="1"/>
    <xf borderId="4" fillId="2" fontId="1" numFmtId="49" xfId="0" applyAlignment="1" applyBorder="1" applyFill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/>
    </xf>
    <xf borderId="6" fillId="0" fontId="4" numFmtId="0" xfId="0" applyBorder="1" applyFont="1"/>
    <xf borderId="0" fillId="0" fontId="2" numFmtId="10" xfId="0" applyFont="1" applyNumberFormat="1"/>
    <xf borderId="6" fillId="0" fontId="2" numFmtId="49" xfId="0" applyBorder="1" applyFont="1" applyNumberFormat="1"/>
    <xf borderId="4" fillId="0" fontId="5" numFmtId="0" xfId="0" applyAlignment="1" applyBorder="1" applyFont="1">
      <alignment readingOrder="0"/>
    </xf>
    <xf borderId="4" fillId="2" fontId="1" numFmtId="0" xfId="0" applyAlignment="1" applyBorder="1" applyFill="1" applyFont="1">
      <alignment readingOrder="0" shrinkToFit="0" vertical="center" wrapText="0"/>
    </xf>
    <xf borderId="4" fillId="2" fontId="1" numFmtId="49" xfId="0" applyAlignment="1" applyBorder="1" applyFill="1" applyFont="1" applyNumberFormat="1">
      <alignment readingOrder="0" shrinkToFit="0" vertical="center" wrapText="0"/>
    </xf>
    <xf borderId="4" fillId="2" fontId="1" numFmtId="165" xfId="0" applyAlignment="1" applyBorder="1" applyFill="1" applyFont="1" applyNumberFormat="1">
      <alignment readingOrder="0" shrinkToFit="0" vertical="center" wrapText="0"/>
    </xf>
    <xf borderId="4" fillId="2" fontId="1" numFmtId="49" xfId="0" applyAlignment="1" applyBorder="1" applyFill="1" applyFont="1" applyNumberFormat="1">
      <alignment shrinkToFit="0" vertical="center" wrapText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2" fillId="3" fontId="7" numFmtId="0" xfId="0" applyAlignment="1" applyBorder="1" applyFill="1" applyFont="1">
      <alignment readingOrder="0"/>
    </xf>
    <xf borderId="2" fillId="3" fontId="2" numFmtId="0" xfId="0" applyBorder="1" applyFill="1" applyFont="1"/>
    <xf borderId="2" fillId="3" fontId="9" numFmtId="0" xfId="0" applyBorder="1" applyFill="1" applyFont="1"/>
    <xf borderId="4" fillId="2" fontId="1" numFmtId="0" xfId="0" applyAlignment="1" applyBorder="1" applyFill="1" applyFont="1">
      <alignment readingOrder="0" shrinkToFit="0" vertical="center" wrapText="0"/>
    </xf>
    <xf borderId="0" fillId="0" fontId="1" numFmtId="165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ALES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SALES PERFORMANCE BY STATE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06497524752475248"/>
          <c:y val="0.15476190476190474"/>
          <c:w val="0.9125"/>
          <c:h val="0.666057159017370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'ED ANALYSIS'!$L$2:$L$3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'ED ANALYSIS'!$J$4:$J$19</c:f>
            </c:strRef>
          </c:cat>
          <c:val>
            <c:numRef>
              <c:f>'ED ANALYSIS'!$L$4:$L$19</c:f>
              <c:numCache/>
            </c:numRef>
          </c:val>
        </c:ser>
        <c:axId val="1677051563"/>
        <c:axId val="1558526664"/>
      </c:bar3DChart>
      <c:catAx>
        <c:axId val="1677051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1558526664"/>
      </c:catAx>
      <c:valAx>
        <c:axId val="1558526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1677051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 BEST SELLING PRODUCT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'ED ANALYSIS'!$N$4:$N$46</c:f>
            </c:strRef>
          </c:cat>
          <c:val>
            <c:numRef>
              <c:f>'ED ANALYSIS'!$O$4:$O$46</c:f>
              <c:numCache/>
            </c:numRef>
          </c:val>
        </c:ser>
        <c:axId val="1607931441"/>
        <c:axId val="858509973"/>
      </c:bar3DChart>
      <c:catAx>
        <c:axId val="16079314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858509973"/>
      </c:catAx>
      <c:valAx>
        <c:axId val="8585099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16079314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   TOP 10 CUSTOMERS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'ED ANALYSIS'!$H$23:$H$24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'ED ANALYSIS'!$G$25:$G$34</c:f>
            </c:strRef>
          </c:cat>
          <c:val>
            <c:numRef>
              <c:f>'ED ANALYSIS'!$H$25:$H$34</c:f>
              <c:numCache/>
            </c:numRef>
          </c:val>
        </c:ser>
        <c:axId val="1633299935"/>
        <c:axId val="915681034"/>
      </c:bar3DChart>
      <c:catAx>
        <c:axId val="1633299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915681034"/>
      </c:catAx>
      <c:valAx>
        <c:axId val="915681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2999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BEST SELLING PRODUCTS BY STATES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24140049140049136"/>
          <c:y val="0.08747300215982722"/>
          <c:w val="0.6099954890970518"/>
          <c:h val="0.855223627053656"/>
        </c:manualLayout>
      </c:layout>
      <c:bar3DChart>
        <c:barDir val="bar"/>
        <c:grouping val="stacked"/>
        <c:ser>
          <c:idx val="0"/>
          <c:order val="0"/>
          <c:tx>
            <c:strRef>
              <c:f>Sheet14!$C$4</c:f>
            </c:strRef>
          </c:tx>
          <c:spPr>
            <a:solidFill>
              <a:srgbClr val="00FFFF"/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Sheet14!$C$5:$C$48</c:f>
              <c:numCache/>
            </c:numRef>
          </c:val>
        </c:ser>
        <c:ser>
          <c:idx val="1"/>
          <c:order val="1"/>
          <c:tx>
            <c:strRef>
              <c:f>Sheet14!$D$4</c:f>
            </c:strRef>
          </c:tx>
          <c:spPr>
            <a:solidFill>
              <a:srgbClr val="0000FF"/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Sheet14!$D$5:$D$48</c:f>
              <c:numCache/>
            </c:numRef>
          </c:val>
        </c:ser>
        <c:ser>
          <c:idx val="2"/>
          <c:order val="2"/>
          <c:tx>
            <c:strRef>
              <c:f>Sheet14!$E$4</c:f>
            </c:strRef>
          </c:tx>
          <c:spPr>
            <a:solidFill>
              <a:srgbClr val="E6B8AF"/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Sheet14!$E$5:$E$48</c:f>
              <c:numCache/>
            </c:numRef>
          </c:val>
        </c:ser>
        <c:ser>
          <c:idx val="3"/>
          <c:order val="3"/>
          <c:tx>
            <c:strRef>
              <c:f>Sheet14!$F$4</c:f>
            </c:strRef>
          </c:tx>
          <c:spPr>
            <a:solidFill>
              <a:schemeClr val="accent4"/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Sheet14!$F$5:$F$48</c:f>
              <c:numCache/>
            </c:numRef>
          </c:val>
        </c:ser>
        <c:ser>
          <c:idx val="4"/>
          <c:order val="4"/>
          <c:tx>
            <c:strRef>
              <c:f>Sheet14!$G$4</c:f>
            </c:strRef>
          </c:tx>
          <c:spPr>
            <a:solidFill>
              <a:schemeClr val="accent5"/>
            </a:solidFill>
            <a:ln cmpd="sng">
              <a:noFill/>
              <a:prstDash val="solid"/>
            </a:ln>
          </c:spPr>
          <c:invertIfNegative val="0"/>
          <c:dPt>
            <c:idx val="2"/>
          </c:dPt>
          <c:dPt>
            <c:idx val="25"/>
          </c:dPt>
          <c:cat>
            <c:strRef>
              <c:f>Sheet14!$B$5:$B$48</c:f>
            </c:strRef>
          </c:cat>
          <c:val>
            <c:numRef>
              <c:f>Sheet14!$G$5:$G$48</c:f>
              <c:numCache/>
            </c:numRef>
          </c:val>
        </c:ser>
        <c:ser>
          <c:idx val="5"/>
          <c:order val="5"/>
          <c:tx>
            <c:strRef>
              <c:f>Sheet14!$H$4</c:f>
            </c:strRef>
          </c:tx>
          <c:spPr>
            <a:solidFill>
              <a:schemeClr val="accent6"/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Sheet14!$H$5:$H$48</c:f>
              <c:numCache/>
            </c:numRef>
          </c:val>
        </c:ser>
        <c:ser>
          <c:idx val="6"/>
          <c:order val="6"/>
          <c:tx>
            <c:strRef>
              <c:f>Sheet14!$I$4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Sheet14!$I$5:$I$48</c:f>
              <c:numCache/>
            </c:numRef>
          </c:val>
        </c:ser>
        <c:ser>
          <c:idx val="7"/>
          <c:order val="7"/>
          <c:tx>
            <c:strRef>
              <c:f>Sheet14!$J$4</c:f>
            </c:strRef>
          </c:tx>
          <c:spPr>
            <a:solidFill>
              <a:srgbClr val="EA9999"/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Sheet14!$J$5:$J$48</c:f>
              <c:numCache/>
            </c:numRef>
          </c:val>
        </c:ser>
        <c:ser>
          <c:idx val="8"/>
          <c:order val="8"/>
          <c:tx>
            <c:strRef>
              <c:f>Sheet14!$K$4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Sheet14!$K$5:$K$48</c:f>
              <c:numCache/>
            </c:numRef>
          </c:val>
        </c:ser>
        <c:ser>
          <c:idx val="9"/>
          <c:order val="9"/>
          <c:tx>
            <c:strRef>
              <c:f>Sheet14!$L$4</c:f>
            </c:strRef>
          </c:tx>
          <c:spPr>
            <a:solidFill>
              <a:srgbClr val="FF00FF"/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Sheet14!$L$5:$L$48</c:f>
              <c:numCache/>
            </c:numRef>
          </c:val>
        </c:ser>
        <c:ser>
          <c:idx val="10"/>
          <c:order val="10"/>
          <c:tx>
            <c:strRef>
              <c:f>Sheet14!$M$4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Sheet14!$M$5:$M$48</c:f>
              <c:numCache/>
            </c:numRef>
          </c:val>
        </c:ser>
        <c:ser>
          <c:idx val="11"/>
          <c:order val="11"/>
          <c:tx>
            <c:strRef>
              <c:f>Sheet14!$N$4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Sheet14!$N$5:$N$48</c:f>
              <c:numCache/>
            </c:numRef>
          </c:val>
        </c:ser>
        <c:ser>
          <c:idx val="12"/>
          <c:order val="12"/>
          <c:tx>
            <c:strRef>
              <c:f>Sheet14!$O$4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Sheet14!$O$5:$O$48</c:f>
              <c:numCache/>
            </c:numRef>
          </c:val>
        </c:ser>
        <c:ser>
          <c:idx val="13"/>
          <c:order val="13"/>
          <c:tx>
            <c:strRef>
              <c:f>Sheet14!$P$4</c:f>
            </c:strRef>
          </c:tx>
          <c:spPr>
            <a:solidFill>
              <a:srgbClr val="EFEFEF"/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Sheet14!$P$5:$P$48</c:f>
              <c:numCache/>
            </c:numRef>
          </c:val>
        </c:ser>
        <c:ser>
          <c:idx val="14"/>
          <c:order val="14"/>
          <c:tx>
            <c:strRef>
              <c:f>Sheet14!$Q$4</c:f>
            </c:strRef>
          </c:tx>
          <c:spPr>
            <a:solidFill>
              <a:schemeClr val="accent3">
                <a:lumOff val="60000"/>
              </a:schemeClr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Sheet14!$Q$5:$Q$48</c:f>
              <c:numCache/>
            </c:numRef>
          </c:val>
        </c:ser>
        <c:ser>
          <c:idx val="15"/>
          <c:order val="15"/>
          <c:tx>
            <c:strRef>
              <c:f>Sheet14!$R$4</c:f>
            </c:strRef>
          </c:tx>
          <c:spPr>
            <a:solidFill>
              <a:srgbClr val="A64D79"/>
            </a:solidFill>
            <a:ln cmpd="sng">
              <a:noFill/>
              <a:prstDash val="solid"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Sheet14!$R$5:$R$48</c:f>
              <c:numCache/>
            </c:numRef>
          </c:val>
        </c:ser>
        <c:axId val="521518265"/>
        <c:axId val="83443091"/>
      </c:bar3DChart>
      <c:catAx>
        <c:axId val="5215182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chemeClr val="dk1"/>
                </a:solidFill>
                <a:latin typeface="Arial"/>
              </a:defRPr>
            </a:pPr>
          </a:p>
        </c:txPr>
        <c:crossAx val="83443091"/>
      </c:catAx>
      <c:valAx>
        <c:axId val="834430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518265"/>
        <c:crosses val="max"/>
      </c:valAx>
    </c:plotArea>
    <c:legend>
      <c:legendPos val="r"/>
      <c:legendEntry>
        <c:idx val="7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Sheet14!$C$4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Sheet14!$C$5:$C$48</c:f>
              <c:numCache/>
            </c:numRef>
          </c:val>
        </c:ser>
        <c:ser>
          <c:idx val="1"/>
          <c:order val="1"/>
          <c:tx>
            <c:strRef>
              <c:f>Sheet14!$D$4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Sheet14!$D$5:$D$48</c:f>
              <c:numCache/>
            </c:numRef>
          </c:val>
        </c:ser>
        <c:ser>
          <c:idx val="2"/>
          <c:order val="2"/>
          <c:tx>
            <c:strRef>
              <c:f>Sheet14!$E$4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Sheet14!$E$5:$E$48</c:f>
              <c:numCache/>
            </c:numRef>
          </c:val>
        </c:ser>
        <c:ser>
          <c:idx val="3"/>
          <c:order val="3"/>
          <c:tx>
            <c:strRef>
              <c:f>Sheet14!$F$4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Sheet14!$F$5:$F$48</c:f>
              <c:numCache/>
            </c:numRef>
          </c:val>
        </c:ser>
        <c:ser>
          <c:idx val="4"/>
          <c:order val="4"/>
          <c:tx>
            <c:strRef>
              <c:f>Sheet14!$G$4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Sheet14!$G$5:$G$48</c:f>
              <c:numCache/>
            </c:numRef>
          </c:val>
        </c:ser>
        <c:ser>
          <c:idx val="5"/>
          <c:order val="5"/>
          <c:tx>
            <c:strRef>
              <c:f>Sheet14!$H$4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Sheet14!$H$5:$H$48</c:f>
              <c:numCache/>
            </c:numRef>
          </c:val>
        </c:ser>
        <c:ser>
          <c:idx val="6"/>
          <c:order val="6"/>
          <c:tx>
            <c:strRef>
              <c:f>Sheet14!$I$4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Sheet14!$I$5:$I$48</c:f>
              <c:numCache/>
            </c:numRef>
          </c:val>
        </c:ser>
        <c:ser>
          <c:idx val="7"/>
          <c:order val="7"/>
          <c:tx>
            <c:strRef>
              <c:f>Sheet14!$J$4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Sheet14!$J$5:$J$48</c:f>
              <c:numCache/>
            </c:numRef>
          </c:val>
        </c:ser>
        <c:ser>
          <c:idx val="8"/>
          <c:order val="8"/>
          <c:tx>
            <c:strRef>
              <c:f>Sheet14!$K$4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Sheet14!$K$5:$K$48</c:f>
              <c:numCache/>
            </c:numRef>
          </c:val>
        </c:ser>
        <c:ser>
          <c:idx val="9"/>
          <c:order val="9"/>
          <c:tx>
            <c:strRef>
              <c:f>Sheet14!$L$4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Sheet14!$L$5:$L$48</c:f>
              <c:numCache/>
            </c:numRef>
          </c:val>
        </c:ser>
        <c:ser>
          <c:idx val="10"/>
          <c:order val="10"/>
          <c:tx>
            <c:strRef>
              <c:f>Sheet14!$M$4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Sheet14!$M$5:$M$48</c:f>
              <c:numCache/>
            </c:numRef>
          </c:val>
        </c:ser>
        <c:ser>
          <c:idx val="11"/>
          <c:order val="11"/>
          <c:tx>
            <c:strRef>
              <c:f>Sheet14!$N$4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Sheet14!$N$5:$N$48</c:f>
              <c:numCache/>
            </c:numRef>
          </c:val>
        </c:ser>
        <c:ser>
          <c:idx val="12"/>
          <c:order val="12"/>
          <c:tx>
            <c:strRef>
              <c:f>Sheet14!$O$4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Sheet14!$O$5:$O$48</c:f>
              <c:numCache/>
            </c:numRef>
          </c:val>
        </c:ser>
        <c:ser>
          <c:idx val="13"/>
          <c:order val="13"/>
          <c:tx>
            <c:strRef>
              <c:f>Sheet14!$P$4</c:f>
            </c:strRef>
          </c:tx>
          <c:spPr>
            <a:solidFill>
              <a:schemeClr val="accent2">
                <a:lumOff val="60000"/>
              </a:schemeClr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Sheet14!$P$5:$P$48</c:f>
              <c:numCache/>
            </c:numRef>
          </c:val>
        </c:ser>
        <c:ser>
          <c:idx val="14"/>
          <c:order val="14"/>
          <c:tx>
            <c:strRef>
              <c:f>Sheet14!$Q$4</c:f>
            </c:strRef>
          </c:tx>
          <c:spPr>
            <a:solidFill>
              <a:schemeClr val="accent3">
                <a:lumOff val="60000"/>
              </a:schemeClr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Sheet14!$Q$5:$Q$48</c:f>
              <c:numCache/>
            </c:numRef>
          </c:val>
        </c:ser>
        <c:ser>
          <c:idx val="15"/>
          <c:order val="15"/>
          <c:tx>
            <c:strRef>
              <c:f>Sheet14!$R$4</c:f>
            </c:strRef>
          </c:tx>
          <c:spPr>
            <a:solidFill>
              <a:schemeClr val="accent4">
                <a:lumOff val="60000"/>
              </a:schemeClr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Sheet14!$R$5:$R$48</c:f>
              <c:numCache/>
            </c:numRef>
          </c:val>
        </c:ser>
        <c:overlap val="100"/>
        <c:axId val="967521685"/>
        <c:axId val="1603043852"/>
      </c:barChart>
      <c:catAx>
        <c:axId val="9675216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043852"/>
      </c:catAx>
      <c:valAx>
        <c:axId val="16030438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5216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image" Target="../media/Chart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895350</xdr:colOff>
      <xdr:row>13</xdr:row>
      <xdr:rowOff>171450</xdr:rowOff>
    </xdr:from>
    <xdr:ext cx="7772400" cy="3467100"/>
    <xdr:graphicFrame>
      <xdr:nvGraphicFramePr>
        <xdr:cNvPr id="211219393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895350</xdr:colOff>
      <xdr:row>9</xdr:row>
      <xdr:rowOff>142875</xdr:rowOff>
    </xdr:from>
    <xdr:ext cx="1885950" cy="1209675"/>
    <xdr:pic>
      <xdr:nvPicPr>
        <xdr:cNvPr id="114107367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857250</xdr:colOff>
      <xdr:row>9</xdr:row>
      <xdr:rowOff>142875</xdr:rowOff>
    </xdr:from>
    <xdr:ext cx="1924050" cy="1209675"/>
    <xdr:pic>
      <xdr:nvPicPr>
        <xdr:cNvPr id="131164899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895350</xdr:colOff>
      <xdr:row>33</xdr:row>
      <xdr:rowOff>0</xdr:rowOff>
    </xdr:from>
    <xdr:ext cx="7772400" cy="3514725"/>
    <xdr:graphicFrame>
      <xdr:nvGraphicFramePr>
        <xdr:cNvPr id="10047414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895350</xdr:colOff>
      <xdr:row>51</xdr:row>
      <xdr:rowOff>85725</xdr:rowOff>
    </xdr:from>
    <xdr:ext cx="7772400" cy="4410075"/>
    <xdr:graphicFrame>
      <xdr:nvGraphicFramePr>
        <xdr:cNvPr id="1776392201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895350</xdr:colOff>
      <xdr:row>74</xdr:row>
      <xdr:rowOff>142875</xdr:rowOff>
    </xdr:from>
    <xdr:ext cx="7772400" cy="4410075"/>
    <xdr:graphicFrame>
      <xdr:nvGraphicFramePr>
        <xdr:cNvPr id="1849000215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857250</xdr:colOff>
      <xdr:row>9</xdr:row>
      <xdr:rowOff>142875</xdr:rowOff>
    </xdr:from>
    <xdr:ext cx="2000250" cy="1209675"/>
    <xdr:pic>
      <xdr:nvPicPr>
        <xdr:cNvPr id="1801680597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2</xdr:row>
      <xdr:rowOff>104775</xdr:rowOff>
    </xdr:from>
    <xdr:ext cx="5715000" cy="3952875"/>
    <xdr:graphicFrame>
      <xdr:nvGraphicFramePr>
        <xdr:cNvPr id="379619233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38" displayName="Table1" name="Table1" id="1">
  <autoFilter ref="$A$1:$G$238"/>
  <tableColumns count="7">
    <tableColumn name="DATE" id="1"/>
    <tableColumn name="Customer ID" id="2"/>
    <tableColumn name="Phone Number" id="3"/>
    <tableColumn name="City" id="4"/>
    <tableColumn name="State" id="5"/>
    <tableColumn name="Product" id="6"/>
    <tableColumn name="Quantity" id="7"/>
  </tableColumns>
  <tableStyleInfo name="SALES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6.25"/>
  </cols>
  <sheetData>
    <row r="1" ht="15.7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</row>
    <row r="2" ht="15.75" customHeight="1">
      <c r="A2" s="1">
        <v>8.035019487E9</v>
      </c>
      <c r="B2" s="1" t="s">
        <v>9</v>
      </c>
      <c r="C2" s="1" t="s">
        <v>11</v>
      </c>
      <c r="D2" s="1">
        <v>2.0</v>
      </c>
      <c r="E2" s="1" t="s">
        <v>13</v>
      </c>
    </row>
    <row r="3" ht="15.75" customHeight="1">
      <c r="A3" s="1">
        <v>8.035019487E9</v>
      </c>
      <c r="B3" s="1" t="s">
        <v>9</v>
      </c>
      <c r="C3" s="1" t="s">
        <v>18</v>
      </c>
      <c r="D3" s="1">
        <v>2.0</v>
      </c>
      <c r="E3" s="1" t="s">
        <v>13</v>
      </c>
    </row>
    <row r="4" ht="15.75" customHeight="1">
      <c r="A4" s="1">
        <v>8.035019487E9</v>
      </c>
      <c r="B4" s="1" t="s">
        <v>9</v>
      </c>
      <c r="C4" s="1" t="s">
        <v>16</v>
      </c>
      <c r="D4" s="1">
        <v>2.0</v>
      </c>
      <c r="E4" s="1" t="s">
        <v>13</v>
      </c>
      <c r="H4" s="3" t="s">
        <v>21</v>
      </c>
    </row>
    <row r="5" ht="15.75" customHeight="1">
      <c r="A5" s="1">
        <v>8.065538774E9</v>
      </c>
      <c r="B5" s="1" t="s">
        <v>28</v>
      </c>
      <c r="C5" s="1" t="s">
        <v>30</v>
      </c>
      <c r="D5" s="1">
        <v>1.0</v>
      </c>
      <c r="E5" s="1" t="s">
        <v>13</v>
      </c>
    </row>
    <row r="6" ht="15.75" customHeight="1">
      <c r="A6" s="1">
        <v>8.065538774E9</v>
      </c>
      <c r="B6" s="1" t="s">
        <v>28</v>
      </c>
      <c r="C6" s="1" t="s">
        <v>35</v>
      </c>
      <c r="D6" s="1">
        <v>1.0</v>
      </c>
      <c r="E6" s="1" t="s">
        <v>13</v>
      </c>
    </row>
    <row r="7" ht="15.75" customHeight="1">
      <c r="A7" s="1">
        <v>8.036743639E9</v>
      </c>
      <c r="B7" s="1" t="s">
        <v>38</v>
      </c>
      <c r="C7" s="1" t="s">
        <v>39</v>
      </c>
      <c r="D7" s="1">
        <v>2.0</v>
      </c>
      <c r="E7" s="1" t="s">
        <v>41</v>
      </c>
    </row>
    <row r="8" ht="15.75" customHeight="1">
      <c r="A8" s="1">
        <v>8.036743639E9</v>
      </c>
      <c r="B8" s="1" t="s">
        <v>38</v>
      </c>
      <c r="C8" s="1" t="s">
        <v>45</v>
      </c>
      <c r="D8" s="1">
        <v>1.0</v>
      </c>
      <c r="E8" s="1" t="s">
        <v>41</v>
      </c>
    </row>
    <row r="9" ht="15.75" customHeight="1">
      <c r="A9" s="1">
        <v>8.036743639E9</v>
      </c>
      <c r="B9" s="1" t="s">
        <v>38</v>
      </c>
      <c r="C9" s="1" t="s">
        <v>49</v>
      </c>
      <c r="D9" s="1">
        <v>1.0</v>
      </c>
      <c r="E9" s="1" t="s">
        <v>41</v>
      </c>
    </row>
    <row r="10" ht="15.75" customHeight="1">
      <c r="A10" s="1">
        <v>8.037379461E9</v>
      </c>
      <c r="B10" s="1" t="s">
        <v>53</v>
      </c>
      <c r="C10" s="1" t="s">
        <v>52</v>
      </c>
      <c r="D10" s="1">
        <v>4.0</v>
      </c>
      <c r="E10" s="1" t="s">
        <v>41</v>
      </c>
    </row>
    <row r="11" ht="15.75" customHeight="1">
      <c r="A11" s="1">
        <v>8.140043724E9</v>
      </c>
      <c r="B11" s="1" t="s">
        <v>55</v>
      </c>
      <c r="C11" s="1" t="s">
        <v>11</v>
      </c>
      <c r="D11" s="1">
        <v>1.0</v>
      </c>
      <c r="E11" s="1" t="s">
        <v>56</v>
      </c>
    </row>
    <row r="12" ht="15.75" customHeight="1">
      <c r="A12" s="1">
        <v>7.029964824E9</v>
      </c>
      <c r="B12" s="1" t="s">
        <v>38</v>
      </c>
      <c r="C12" s="1" t="s">
        <v>11</v>
      </c>
      <c r="D12" s="1">
        <v>1.0</v>
      </c>
      <c r="E12" s="1" t="s">
        <v>41</v>
      </c>
    </row>
    <row r="13" ht="15.75" customHeight="1">
      <c r="A13" s="1">
        <v>7.030968451E9</v>
      </c>
      <c r="B13" s="1" t="s">
        <v>60</v>
      </c>
      <c r="C13" s="1" t="s">
        <v>18</v>
      </c>
      <c r="D13" s="1">
        <v>2.0</v>
      </c>
      <c r="E13" s="1" t="s">
        <v>63</v>
      </c>
    </row>
    <row r="14" ht="15.75" customHeight="1">
      <c r="A14" s="1">
        <v>7.030968451E9</v>
      </c>
      <c r="B14" s="1" t="s">
        <v>60</v>
      </c>
      <c r="C14" s="1" t="s">
        <v>67</v>
      </c>
      <c r="D14" s="1">
        <v>2.0</v>
      </c>
      <c r="E14" s="1" t="s">
        <v>63</v>
      </c>
    </row>
    <row r="15" ht="15.75" customHeight="1">
      <c r="A15" s="1">
        <v>7.030968451E9</v>
      </c>
      <c r="B15" s="1" t="s">
        <v>70</v>
      </c>
      <c r="C15" s="1" t="s">
        <v>16</v>
      </c>
      <c r="D15" s="1">
        <v>2.0</v>
      </c>
      <c r="E15" s="1" t="s">
        <v>63</v>
      </c>
    </row>
    <row r="16" ht="15.75" customHeight="1">
      <c r="A16" s="1">
        <v>8.039361062E9</v>
      </c>
      <c r="B16" s="1" t="s">
        <v>72</v>
      </c>
      <c r="C16" s="1" t="s">
        <v>59</v>
      </c>
      <c r="D16" s="1">
        <v>1.0</v>
      </c>
      <c r="E16" s="1" t="s">
        <v>63</v>
      </c>
    </row>
    <row r="17" ht="15.75" customHeight="1">
      <c r="A17" s="1">
        <v>8.039361062E9</v>
      </c>
      <c r="B17" s="1" t="s">
        <v>72</v>
      </c>
      <c r="C17" s="1" t="s">
        <v>18</v>
      </c>
      <c r="D17" s="1">
        <v>1.0</v>
      </c>
      <c r="E17" s="1" t="s">
        <v>63</v>
      </c>
    </row>
    <row r="18" ht="15.75" customHeight="1">
      <c r="A18" s="1">
        <v>8.039361062E9</v>
      </c>
      <c r="B18" s="1" t="s">
        <v>72</v>
      </c>
      <c r="C18" s="1" t="s">
        <v>77</v>
      </c>
      <c r="D18" s="1">
        <v>1.0</v>
      </c>
      <c r="E18" s="1" t="s">
        <v>63</v>
      </c>
    </row>
    <row r="19" ht="15.75" customHeight="1">
      <c r="A19" s="1">
        <v>8.039361062E9</v>
      </c>
      <c r="B19" s="1" t="s">
        <v>72</v>
      </c>
      <c r="C19" s="1" t="s">
        <v>74</v>
      </c>
      <c r="D19" s="1">
        <v>1.0</v>
      </c>
      <c r="E19" s="1" t="s">
        <v>63</v>
      </c>
    </row>
    <row r="20" ht="15.75" customHeight="1">
      <c r="A20" s="1">
        <v>8.039361062E9</v>
      </c>
      <c r="B20" s="1" t="s">
        <v>72</v>
      </c>
      <c r="C20" s="1" t="s">
        <v>86</v>
      </c>
      <c r="D20" s="1">
        <v>1.0</v>
      </c>
      <c r="E20" s="1" t="s">
        <v>63</v>
      </c>
    </row>
    <row r="21" ht="15.75" customHeight="1">
      <c r="A21" s="1">
        <v>8.030453808E9</v>
      </c>
      <c r="B21" s="1" t="s">
        <v>90</v>
      </c>
      <c r="C21" s="1" t="s">
        <v>17</v>
      </c>
      <c r="D21" s="1">
        <v>2.0</v>
      </c>
      <c r="E21" s="1" t="s">
        <v>93</v>
      </c>
    </row>
    <row r="22" ht="15.75" customHeight="1">
      <c r="A22" s="1">
        <v>8.030453808E9</v>
      </c>
      <c r="B22" s="1" t="s">
        <v>90</v>
      </c>
      <c r="C22" s="1" t="s">
        <v>95</v>
      </c>
      <c r="D22" s="1">
        <v>2.0</v>
      </c>
      <c r="E22" s="1" t="s">
        <v>93</v>
      </c>
    </row>
    <row r="23" ht="15.75" customHeight="1">
      <c r="A23" s="1">
        <v>9.020016225E9</v>
      </c>
      <c r="B23" s="1" t="s">
        <v>38</v>
      </c>
      <c r="C23" s="1" t="s">
        <v>30</v>
      </c>
      <c r="D23" s="1">
        <v>1.0</v>
      </c>
      <c r="E23" s="1" t="s">
        <v>93</v>
      </c>
    </row>
    <row r="24" ht="15.75" customHeight="1">
      <c r="A24" s="1">
        <v>9.020016225E9</v>
      </c>
      <c r="B24" s="1" t="s">
        <v>38</v>
      </c>
      <c r="C24" s="1" t="s">
        <v>49</v>
      </c>
      <c r="D24" s="1">
        <v>1.0</v>
      </c>
      <c r="E24" s="1" t="s">
        <v>93</v>
      </c>
    </row>
    <row r="25" ht="15.75" customHeight="1">
      <c r="A25" s="1">
        <v>9.020016225E9</v>
      </c>
      <c r="B25" s="1" t="s">
        <v>38</v>
      </c>
      <c r="C25" s="1" t="s">
        <v>22</v>
      </c>
      <c r="D25" s="1">
        <v>1.0</v>
      </c>
      <c r="E25" s="1" t="s">
        <v>93</v>
      </c>
    </row>
    <row r="26" ht="15.75" customHeight="1">
      <c r="A26" s="1">
        <v>8.161725902E9</v>
      </c>
      <c r="B26" s="1" t="s">
        <v>38</v>
      </c>
      <c r="C26" s="1" t="s">
        <v>59</v>
      </c>
      <c r="D26" s="1">
        <v>1.0</v>
      </c>
      <c r="E26" s="2">
        <v>46029.0</v>
      </c>
    </row>
    <row r="27" ht="15.75" customHeight="1">
      <c r="A27" s="1">
        <v>8.068797832E9</v>
      </c>
      <c r="B27" s="1" t="s">
        <v>9</v>
      </c>
      <c r="C27" s="1" t="s">
        <v>74</v>
      </c>
      <c r="D27" s="1">
        <v>1.0</v>
      </c>
      <c r="E27" s="2">
        <v>46029.0</v>
      </c>
    </row>
    <row r="28" ht="15.75" customHeight="1">
      <c r="A28" s="1">
        <v>8.068797832E9</v>
      </c>
      <c r="B28" s="1" t="s">
        <v>9</v>
      </c>
      <c r="C28" s="1" t="s">
        <v>48</v>
      </c>
      <c r="D28" s="1">
        <v>1.0</v>
      </c>
      <c r="E28" s="2">
        <v>46029.0</v>
      </c>
    </row>
    <row r="29" ht="15.75" customHeight="1">
      <c r="A29" s="1">
        <v>7.069202677E9</v>
      </c>
      <c r="B29" s="1" t="s">
        <v>8</v>
      </c>
      <c r="C29" s="1" t="s">
        <v>74</v>
      </c>
      <c r="D29" s="1">
        <v>1.0</v>
      </c>
      <c r="E29" s="2">
        <v>46029.0</v>
      </c>
    </row>
    <row r="30" ht="15.75" customHeight="1">
      <c r="A30" s="1">
        <v>7.069202677E9</v>
      </c>
      <c r="B30" s="1" t="s">
        <v>8</v>
      </c>
      <c r="C30" s="1" t="s">
        <v>59</v>
      </c>
      <c r="D30" s="1">
        <v>1.0</v>
      </c>
      <c r="E30" s="2">
        <v>46029.0</v>
      </c>
    </row>
    <row r="31" ht="15.75" customHeight="1">
      <c r="A31" s="1">
        <v>8.037815531E9</v>
      </c>
      <c r="B31" s="1" t="s">
        <v>112</v>
      </c>
      <c r="C31" s="1" t="s">
        <v>74</v>
      </c>
      <c r="D31" s="1">
        <v>1.0</v>
      </c>
      <c r="E31" s="2">
        <v>46060.0</v>
      </c>
    </row>
    <row r="32" ht="15.75" customHeight="1">
      <c r="A32" s="1">
        <v>8.037432361E9</v>
      </c>
      <c r="B32" s="1" t="s">
        <v>114</v>
      </c>
      <c r="C32" s="1" t="s">
        <v>115</v>
      </c>
      <c r="D32" s="1">
        <v>1.0</v>
      </c>
      <c r="E32" s="2">
        <v>46060.0</v>
      </c>
    </row>
    <row r="33" ht="15.75" customHeight="1">
      <c r="A33" s="1">
        <v>8.037432361E9</v>
      </c>
      <c r="B33" s="1" t="s">
        <v>118</v>
      </c>
      <c r="C33" s="1" t="s">
        <v>31</v>
      </c>
      <c r="D33" s="1">
        <v>1.0</v>
      </c>
      <c r="E33" s="2">
        <v>46060.0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8.25"/>
  </cols>
  <sheetData>
    <row r="1" ht="15.7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</row>
    <row r="2" ht="15.75" customHeight="1">
      <c r="A2" s="1">
        <v>8.037433367E9</v>
      </c>
      <c r="B2" s="1" t="s">
        <v>15</v>
      </c>
      <c r="C2" s="1" t="s">
        <v>17</v>
      </c>
      <c r="D2" s="1">
        <v>1.0</v>
      </c>
      <c r="E2" s="2">
        <v>46060.0</v>
      </c>
    </row>
    <row r="3" ht="15.75" customHeight="1">
      <c r="A3" s="1">
        <v>8.03365247158E11</v>
      </c>
      <c r="B3" s="1" t="s">
        <v>23</v>
      </c>
      <c r="C3" s="1" t="s">
        <v>24</v>
      </c>
      <c r="D3" s="1">
        <v>4.0</v>
      </c>
      <c r="E3" s="2">
        <v>46088.0</v>
      </c>
    </row>
    <row r="4" ht="15.75" customHeight="1">
      <c r="A4" s="1" t="s">
        <v>29</v>
      </c>
      <c r="B4" s="1" t="s">
        <v>23</v>
      </c>
      <c r="C4" s="1" t="s">
        <v>22</v>
      </c>
      <c r="D4" s="1">
        <v>4.0</v>
      </c>
      <c r="E4" s="2">
        <v>46088.0</v>
      </c>
    </row>
    <row r="5" ht="15.75" customHeight="1">
      <c r="A5" s="1" t="s">
        <v>29</v>
      </c>
      <c r="B5" s="1" t="s">
        <v>23</v>
      </c>
      <c r="C5" s="1" t="s">
        <v>36</v>
      </c>
      <c r="D5" s="1">
        <v>1.0</v>
      </c>
      <c r="E5" s="2">
        <v>46088.0</v>
      </c>
    </row>
    <row r="6" ht="15.75" customHeight="1">
      <c r="A6" s="1">
        <v>8.067155115E9</v>
      </c>
      <c r="B6" s="1" t="s">
        <v>44</v>
      </c>
      <c r="C6" s="1" t="s">
        <v>46</v>
      </c>
      <c r="D6" s="1">
        <v>3.0</v>
      </c>
      <c r="E6" s="2">
        <v>46088.0</v>
      </c>
    </row>
    <row r="7" ht="15.75" customHeight="1">
      <c r="A7" s="1">
        <v>8.069155175E9</v>
      </c>
      <c r="B7" s="1" t="s">
        <v>8</v>
      </c>
      <c r="C7" s="1" t="s">
        <v>51</v>
      </c>
      <c r="D7" s="1">
        <v>1.0</v>
      </c>
      <c r="E7" s="2">
        <v>46088.0</v>
      </c>
    </row>
    <row r="8" ht="15.75" customHeight="1">
      <c r="A8" s="1">
        <v>8.063637793E9</v>
      </c>
      <c r="B8" s="1" t="s">
        <v>47</v>
      </c>
      <c r="C8" s="1" t="s">
        <v>18</v>
      </c>
      <c r="D8" s="1">
        <v>2.0</v>
      </c>
      <c r="E8" s="2">
        <v>46180.0</v>
      </c>
    </row>
    <row r="9" ht="15.75" customHeight="1">
      <c r="B9" s="1" t="s">
        <v>47</v>
      </c>
      <c r="C9" s="1" t="s">
        <v>22</v>
      </c>
      <c r="D9" s="1">
        <v>2.0</v>
      </c>
      <c r="E9" s="2">
        <v>46180.0</v>
      </c>
    </row>
    <row r="10" ht="15.75" customHeight="1">
      <c r="A10" s="1">
        <v>7.0331298913E10</v>
      </c>
      <c r="B10" s="1" t="s">
        <v>8</v>
      </c>
      <c r="C10" s="1" t="s">
        <v>62</v>
      </c>
      <c r="D10" s="1">
        <v>1.0</v>
      </c>
      <c r="E10" s="2">
        <v>46180.0</v>
      </c>
    </row>
    <row r="11" ht="15.75" customHeight="1">
      <c r="A11" s="1">
        <v>7.033129893E9</v>
      </c>
      <c r="B11" s="1" t="s">
        <v>8</v>
      </c>
      <c r="C11" s="1" t="s">
        <v>18</v>
      </c>
      <c r="D11" s="1">
        <v>1.0</v>
      </c>
      <c r="E11" s="2">
        <v>46180.0</v>
      </c>
    </row>
    <row r="12" ht="15.75" customHeight="1">
      <c r="A12" s="1">
        <v>8.05598744E9</v>
      </c>
      <c r="B12" s="1" t="s">
        <v>38</v>
      </c>
      <c r="C12" s="1" t="s">
        <v>48</v>
      </c>
      <c r="D12" s="1">
        <v>1.0</v>
      </c>
      <c r="E12" s="2">
        <v>46180.0</v>
      </c>
    </row>
    <row r="13" ht="15.75" customHeight="1">
      <c r="A13" s="1">
        <v>8.105593152E9</v>
      </c>
      <c r="B13" s="1" t="s">
        <v>38</v>
      </c>
      <c r="C13" s="1" t="s">
        <v>74</v>
      </c>
      <c r="D13" s="1">
        <v>1.0</v>
      </c>
      <c r="E13" s="2">
        <v>46180.0</v>
      </c>
    </row>
    <row r="14" ht="15.75" customHeight="1">
      <c r="B14" s="1" t="s">
        <v>76</v>
      </c>
      <c r="C14" s="1" t="s">
        <v>18</v>
      </c>
      <c r="D14" s="1">
        <v>1.0</v>
      </c>
      <c r="E14" s="2">
        <v>46180.0</v>
      </c>
    </row>
    <row r="15" ht="15.75" customHeight="1">
      <c r="B15" s="1" t="s">
        <v>76</v>
      </c>
      <c r="C15" s="1" t="s">
        <v>16</v>
      </c>
      <c r="D15" s="1">
        <v>2.0</v>
      </c>
      <c r="E15" s="2">
        <v>46180.0</v>
      </c>
    </row>
    <row r="16" ht="15.75" customHeight="1">
      <c r="B16" s="1" t="s">
        <v>8</v>
      </c>
      <c r="C16" s="1" t="s">
        <v>88</v>
      </c>
      <c r="D16" s="1">
        <v>1.0</v>
      </c>
      <c r="E16" s="2">
        <v>46180.0</v>
      </c>
    </row>
    <row r="17" ht="15.75" customHeight="1">
      <c r="B17" s="1" t="s">
        <v>8</v>
      </c>
      <c r="C17" s="1" t="s">
        <v>94</v>
      </c>
      <c r="D17" s="1">
        <v>1.0</v>
      </c>
      <c r="E17" s="2">
        <v>46180.0</v>
      </c>
    </row>
    <row r="18" ht="15.75" customHeight="1">
      <c r="B18" s="1" t="s">
        <v>8</v>
      </c>
      <c r="C18" s="1" t="s">
        <v>24</v>
      </c>
      <c r="D18" s="1">
        <v>1.0</v>
      </c>
      <c r="E18" s="2">
        <v>46180.0</v>
      </c>
    </row>
    <row r="19" ht="15.75" customHeight="1">
      <c r="A19" s="1">
        <v>2.034731166E9</v>
      </c>
      <c r="B19" s="1" t="s">
        <v>38</v>
      </c>
      <c r="C19" s="1" t="s">
        <v>100</v>
      </c>
      <c r="D19" s="1">
        <v>2.0</v>
      </c>
      <c r="E19" s="2">
        <v>46210.0</v>
      </c>
    </row>
    <row r="20" ht="15.75" customHeight="1">
      <c r="A20" s="1">
        <v>8.03258795E9</v>
      </c>
      <c r="B20" s="1" t="s">
        <v>92</v>
      </c>
      <c r="C20" s="1" t="s">
        <v>100</v>
      </c>
      <c r="D20" s="1">
        <v>1.0</v>
      </c>
      <c r="E20" s="2">
        <v>46210.0</v>
      </c>
    </row>
    <row r="21" ht="15.75" customHeight="1">
      <c r="A21" s="1">
        <v>8.060681137E9</v>
      </c>
      <c r="B21" s="1" t="s">
        <v>8</v>
      </c>
      <c r="C21" s="1" t="s">
        <v>16</v>
      </c>
      <c r="D21" s="1">
        <v>1.0</v>
      </c>
      <c r="E21" s="2">
        <v>46210.0</v>
      </c>
    </row>
    <row r="22" ht="15.75" customHeight="1">
      <c r="A22" s="1">
        <v>8.141362251E9</v>
      </c>
      <c r="B22" s="1" t="s">
        <v>25</v>
      </c>
      <c r="C22" s="1" t="s">
        <v>36</v>
      </c>
      <c r="D22" s="1">
        <v>1.0</v>
      </c>
      <c r="E22" s="2">
        <v>46210.0</v>
      </c>
    </row>
    <row r="23" ht="15.75" customHeight="1">
      <c r="A23" s="1">
        <v>8037.0</v>
      </c>
      <c r="B23" s="1" t="s">
        <v>76</v>
      </c>
      <c r="C23" s="1" t="s">
        <v>31</v>
      </c>
      <c r="D23" s="1">
        <v>1.0</v>
      </c>
      <c r="E23" s="2">
        <v>46210.0</v>
      </c>
    </row>
    <row r="24" ht="15.75" customHeight="1">
      <c r="B24" s="1" t="s">
        <v>111</v>
      </c>
      <c r="C24" s="1" t="s">
        <v>31</v>
      </c>
      <c r="D24" s="1">
        <v>1.0</v>
      </c>
      <c r="E24" s="2">
        <v>46210.0</v>
      </c>
    </row>
    <row r="25" ht="15.75" customHeight="1">
      <c r="A25" s="1">
        <v>8.069155175E9</v>
      </c>
      <c r="B25" s="1" t="s">
        <v>38</v>
      </c>
      <c r="C25" s="1" t="s">
        <v>46</v>
      </c>
      <c r="D25" s="1">
        <v>1.0</v>
      </c>
      <c r="E25" s="2">
        <v>46210.0</v>
      </c>
    </row>
    <row r="26" ht="15.75" customHeight="1">
      <c r="A26" s="1">
        <v>8.069155175E9</v>
      </c>
      <c r="B26" s="1" t="s">
        <v>38</v>
      </c>
      <c r="C26" s="1" t="s">
        <v>117</v>
      </c>
      <c r="D26" s="1">
        <v>1.0</v>
      </c>
      <c r="E26" s="2">
        <v>46210.0</v>
      </c>
    </row>
    <row r="27" ht="15.75" customHeight="1">
      <c r="A27" s="1">
        <v>7.04458442E8</v>
      </c>
      <c r="B27" s="1" t="s">
        <v>119</v>
      </c>
      <c r="C27" s="1" t="s">
        <v>120</v>
      </c>
      <c r="D27" s="1">
        <v>1.0</v>
      </c>
      <c r="E27" s="2">
        <v>46210.0</v>
      </c>
    </row>
    <row r="28" ht="15.75" customHeight="1">
      <c r="A28" s="1">
        <v>7.04481771E9</v>
      </c>
      <c r="B28" s="1" t="s">
        <v>122</v>
      </c>
      <c r="C28" s="1" t="s">
        <v>100</v>
      </c>
      <c r="D28" s="1">
        <v>1.0</v>
      </c>
      <c r="E28" s="2">
        <v>46241.0</v>
      </c>
    </row>
    <row r="29" ht="15.75" customHeight="1">
      <c r="A29" s="1">
        <v>8.034047224E9</v>
      </c>
      <c r="B29" s="1" t="s">
        <v>38</v>
      </c>
      <c r="C29" s="1" t="s">
        <v>124</v>
      </c>
      <c r="D29" s="1">
        <v>1.0</v>
      </c>
      <c r="E29" s="2">
        <v>46241.0</v>
      </c>
    </row>
    <row r="30" ht="15.75" customHeight="1">
      <c r="A30" s="1">
        <v>9.169449197E9</v>
      </c>
      <c r="B30" s="1" t="s">
        <v>125</v>
      </c>
      <c r="C30" s="1" t="s">
        <v>124</v>
      </c>
      <c r="D30" s="1">
        <v>1.0</v>
      </c>
      <c r="E30" s="2">
        <v>46241.0</v>
      </c>
    </row>
    <row r="31" ht="15.75" customHeight="1">
      <c r="A31" s="1">
        <v>8.063002287E9</v>
      </c>
      <c r="B31" s="1" t="s">
        <v>122</v>
      </c>
      <c r="C31" s="1" t="s">
        <v>126</v>
      </c>
      <c r="D31" s="1">
        <v>3.0</v>
      </c>
      <c r="E31" s="2">
        <v>46241.0</v>
      </c>
    </row>
    <row r="32" ht="15.75" customHeight="1">
      <c r="A32" s="1">
        <v>8.063002287E9</v>
      </c>
      <c r="B32" s="1" t="s">
        <v>122</v>
      </c>
      <c r="C32" s="1" t="s">
        <v>83</v>
      </c>
      <c r="D32" s="1">
        <v>2.0</v>
      </c>
      <c r="E32" s="2">
        <v>46241.0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</row>
    <row r="2" ht="15.75" customHeight="1">
      <c r="A2" s="1">
        <v>9.030910073E9</v>
      </c>
      <c r="B2" s="1" t="s">
        <v>8</v>
      </c>
      <c r="C2" s="1" t="s">
        <v>10</v>
      </c>
      <c r="D2" s="1">
        <v>1.0</v>
      </c>
      <c r="E2" s="2">
        <v>46303.0</v>
      </c>
    </row>
    <row r="3" ht="15.75" customHeight="1">
      <c r="A3" s="1">
        <v>9.030910073E9</v>
      </c>
      <c r="B3" s="1" t="s">
        <v>8</v>
      </c>
      <c r="C3" s="1" t="s">
        <v>22</v>
      </c>
      <c r="D3" s="1">
        <v>1.0</v>
      </c>
      <c r="E3" s="2">
        <v>46303.0</v>
      </c>
    </row>
    <row r="4" ht="15.75" customHeight="1">
      <c r="A4" s="1">
        <v>7.024852183E9</v>
      </c>
      <c r="B4" s="1" t="s">
        <v>25</v>
      </c>
      <c r="C4" s="1" t="s">
        <v>27</v>
      </c>
      <c r="D4" s="1">
        <v>1.0</v>
      </c>
      <c r="E4" s="2">
        <v>46303.0</v>
      </c>
    </row>
    <row r="5" ht="15.75" customHeight="1">
      <c r="A5" s="1">
        <v>7.039450433E9</v>
      </c>
      <c r="B5" s="1" t="s">
        <v>8</v>
      </c>
      <c r="C5" s="1" t="s">
        <v>31</v>
      </c>
      <c r="D5" s="1">
        <v>2.0</v>
      </c>
      <c r="E5" s="2">
        <v>46334.0</v>
      </c>
    </row>
    <row r="6" ht="15.75" customHeight="1">
      <c r="B6" s="1" t="s">
        <v>33</v>
      </c>
      <c r="C6" s="1" t="s">
        <v>34</v>
      </c>
      <c r="D6" s="1">
        <v>1.0</v>
      </c>
      <c r="E6" s="2">
        <v>46334.0</v>
      </c>
    </row>
    <row r="7" ht="15.75" customHeight="1">
      <c r="B7" s="1" t="s">
        <v>33</v>
      </c>
      <c r="C7" s="1" t="s">
        <v>37</v>
      </c>
      <c r="D7" s="1">
        <v>2.0</v>
      </c>
      <c r="E7" s="2">
        <v>46334.0</v>
      </c>
    </row>
    <row r="8" ht="15.75" customHeight="1">
      <c r="A8" s="1">
        <v>8.024213214E9</v>
      </c>
      <c r="B8" s="1" t="s">
        <v>42</v>
      </c>
      <c r="C8" s="1" t="s">
        <v>37</v>
      </c>
      <c r="D8" s="1">
        <v>2.0</v>
      </c>
      <c r="E8" s="2">
        <v>46334.0</v>
      </c>
    </row>
    <row r="9" ht="15.75" customHeight="1">
      <c r="A9" s="1">
        <v>8.163854758E9</v>
      </c>
      <c r="B9" s="1" t="s">
        <v>47</v>
      </c>
      <c r="C9" s="1" t="s">
        <v>48</v>
      </c>
      <c r="D9" s="1">
        <v>1.0</v>
      </c>
      <c r="E9" s="2">
        <v>46364.0</v>
      </c>
    </row>
    <row r="10" ht="15.75" customHeight="1">
      <c r="A10" s="1">
        <v>8.06167205E9</v>
      </c>
      <c r="B10" s="1" t="s">
        <v>33</v>
      </c>
      <c r="C10" s="1" t="s">
        <v>52</v>
      </c>
      <c r="D10" s="1">
        <v>1.0</v>
      </c>
      <c r="E10" s="2">
        <v>46364.0</v>
      </c>
    </row>
    <row r="11" ht="15.75" customHeight="1">
      <c r="A11" s="1">
        <v>8.163854758E9</v>
      </c>
      <c r="B11" s="1" t="s">
        <v>47</v>
      </c>
      <c r="C11" s="1" t="s">
        <v>10</v>
      </c>
      <c r="D11" s="1">
        <v>1.0</v>
      </c>
      <c r="E11" s="2">
        <v>46364.0</v>
      </c>
    </row>
    <row r="12" ht="15.75" customHeight="1">
      <c r="A12" s="1">
        <v>8.163854758E9</v>
      </c>
      <c r="B12" s="1" t="s">
        <v>47</v>
      </c>
      <c r="C12" s="1" t="s">
        <v>57</v>
      </c>
      <c r="D12" s="1">
        <v>1.0</v>
      </c>
      <c r="E12" s="2">
        <v>46364.0</v>
      </c>
    </row>
    <row r="13" ht="15.75" customHeight="1">
      <c r="A13" s="1">
        <v>7.080910093E9</v>
      </c>
      <c r="B13" s="1" t="s">
        <v>8</v>
      </c>
      <c r="C13" s="1" t="s">
        <v>58</v>
      </c>
      <c r="D13" s="1">
        <v>1.0</v>
      </c>
      <c r="E13" s="2">
        <v>46364.0</v>
      </c>
    </row>
    <row r="14" ht="15.75" customHeight="1">
      <c r="A14" s="1">
        <v>7.030910073E9</v>
      </c>
      <c r="B14" s="1" t="s">
        <v>8</v>
      </c>
      <c r="C14" s="1" t="s">
        <v>61</v>
      </c>
      <c r="D14" s="1">
        <v>1.0</v>
      </c>
      <c r="E14" s="2">
        <v>46364.0</v>
      </c>
    </row>
    <row r="15" ht="15.75" customHeight="1">
      <c r="A15" s="1">
        <v>7.036363534E9</v>
      </c>
      <c r="B15" s="1" t="s">
        <v>64</v>
      </c>
      <c r="C15" s="1" t="s">
        <v>66</v>
      </c>
      <c r="D15" s="1">
        <v>1.0</v>
      </c>
      <c r="E15" s="2">
        <v>46364.0</v>
      </c>
    </row>
    <row r="16" ht="15.75" customHeight="1">
      <c r="A16" s="1">
        <v>8.032151901E9</v>
      </c>
      <c r="B16" s="1" t="s">
        <v>68</v>
      </c>
      <c r="C16" s="1" t="s">
        <v>69</v>
      </c>
      <c r="D16" s="1">
        <v>1.0</v>
      </c>
      <c r="E16" s="2">
        <v>46364.0</v>
      </c>
    </row>
    <row r="17" ht="15.75" customHeight="1">
      <c r="A17" s="1">
        <v>8.032151901E9</v>
      </c>
      <c r="B17" s="1" t="s">
        <v>68</v>
      </c>
      <c r="C17" s="1" t="s">
        <v>58</v>
      </c>
      <c r="D17" s="1">
        <v>1.0</v>
      </c>
      <c r="E17" s="1" t="s">
        <v>71</v>
      </c>
    </row>
    <row r="18" ht="15.75" customHeight="1">
      <c r="A18" s="1">
        <v>8.03251901E8</v>
      </c>
      <c r="B18" s="1" t="s">
        <v>68</v>
      </c>
      <c r="C18" s="1" t="s">
        <v>24</v>
      </c>
      <c r="D18" s="1">
        <v>1.0</v>
      </c>
      <c r="E18" s="1" t="s">
        <v>71</v>
      </c>
    </row>
    <row r="19" ht="15.75" customHeight="1">
      <c r="C19" s="1" t="s">
        <v>36</v>
      </c>
      <c r="D19" s="1">
        <v>1.0</v>
      </c>
      <c r="E19" s="1" t="s">
        <v>71</v>
      </c>
    </row>
    <row r="20" ht="15.75" customHeight="1">
      <c r="A20" s="1">
        <v>9.054606524E9</v>
      </c>
      <c r="B20" s="1" t="s">
        <v>75</v>
      </c>
      <c r="C20" s="1" t="s">
        <v>61</v>
      </c>
      <c r="D20" s="1">
        <v>2.0</v>
      </c>
      <c r="E20" s="1" t="s">
        <v>78</v>
      </c>
    </row>
    <row r="21" ht="15.75" customHeight="1">
      <c r="A21" s="1">
        <v>8.065538714E9</v>
      </c>
      <c r="B21" s="1" t="s">
        <v>80</v>
      </c>
      <c r="C21" s="1" t="s">
        <v>81</v>
      </c>
      <c r="D21" s="1">
        <v>2.0</v>
      </c>
      <c r="E21" s="1" t="s">
        <v>78</v>
      </c>
    </row>
    <row r="22" ht="15.75" customHeight="1">
      <c r="A22" s="1">
        <v>8.033258175E9</v>
      </c>
      <c r="B22" s="1" t="s">
        <v>82</v>
      </c>
      <c r="C22" s="1" t="s">
        <v>83</v>
      </c>
      <c r="D22" s="1">
        <v>1.0</v>
      </c>
      <c r="E22" s="1" t="s">
        <v>78</v>
      </c>
    </row>
    <row r="23" ht="15.75" customHeight="1">
      <c r="A23" s="1">
        <v>8.163854758E9</v>
      </c>
      <c r="B23" s="1" t="s">
        <v>87</v>
      </c>
      <c r="C23" s="1" t="s">
        <v>16</v>
      </c>
      <c r="D23" s="1" t="s">
        <v>89</v>
      </c>
      <c r="E23" s="1" t="s">
        <v>91</v>
      </c>
    </row>
    <row r="24" ht="15.75" customHeight="1">
      <c r="A24" s="1">
        <v>9.165854758E9</v>
      </c>
      <c r="C24" s="1" t="s">
        <v>83</v>
      </c>
      <c r="D24" s="1" t="s">
        <v>89</v>
      </c>
      <c r="E24" s="1" t="s">
        <v>91</v>
      </c>
    </row>
    <row r="25" ht="15.75" customHeight="1">
      <c r="C25" s="1" t="s">
        <v>97</v>
      </c>
      <c r="D25" s="1" t="s">
        <v>89</v>
      </c>
      <c r="E25" s="1" t="s">
        <v>91</v>
      </c>
    </row>
    <row r="26" ht="15.75" customHeight="1">
      <c r="A26" s="1">
        <v>9.034606524E9</v>
      </c>
      <c r="B26" s="1" t="s">
        <v>75</v>
      </c>
      <c r="C26" s="1" t="s">
        <v>61</v>
      </c>
      <c r="D26" s="1" t="s">
        <v>89</v>
      </c>
      <c r="E26" s="1" t="s">
        <v>99</v>
      </c>
    </row>
    <row r="27" ht="15.75" customHeight="1">
      <c r="C27" s="1" t="s">
        <v>49</v>
      </c>
      <c r="D27" s="1" t="s">
        <v>102</v>
      </c>
      <c r="E27" s="1" t="s">
        <v>99</v>
      </c>
    </row>
    <row r="28" ht="15.75" customHeight="1">
      <c r="C28" s="1" t="s">
        <v>104</v>
      </c>
      <c r="D28" s="1" t="s">
        <v>89</v>
      </c>
      <c r="E28" s="1" t="s">
        <v>99</v>
      </c>
    </row>
    <row r="29" ht="15.75" customHeight="1">
      <c r="A29" s="1">
        <v>8.033218819E9</v>
      </c>
      <c r="B29" s="1" t="s">
        <v>25</v>
      </c>
      <c r="C29" s="1" t="s">
        <v>106</v>
      </c>
      <c r="D29" s="1" t="s">
        <v>89</v>
      </c>
      <c r="E29" s="1" t="s">
        <v>99</v>
      </c>
    </row>
    <row r="30" ht="15.75" customHeight="1">
      <c r="C30" s="1" t="s">
        <v>81</v>
      </c>
      <c r="D30" s="1" t="s">
        <v>89</v>
      </c>
      <c r="E30" s="1" t="s">
        <v>99</v>
      </c>
    </row>
    <row r="31" ht="15.75" customHeight="1">
      <c r="C31" s="1" t="s">
        <v>83</v>
      </c>
      <c r="D31" s="1" t="s">
        <v>89</v>
      </c>
      <c r="E31" s="1" t="s">
        <v>99</v>
      </c>
    </row>
    <row r="32" ht="15.75" customHeight="1">
      <c r="A32" s="1">
        <v>8.163005469E9</v>
      </c>
      <c r="B32" s="1" t="s">
        <v>25</v>
      </c>
      <c r="C32" s="1" t="s">
        <v>108</v>
      </c>
      <c r="D32" s="1" t="s">
        <v>102</v>
      </c>
      <c r="E32" s="1" t="s">
        <v>99</v>
      </c>
    </row>
    <row r="33" ht="15.75" customHeight="1">
      <c r="A33" s="1">
        <v>8.06495955E8</v>
      </c>
      <c r="B33" s="1" t="s">
        <v>109</v>
      </c>
      <c r="C33" s="1" t="s">
        <v>110</v>
      </c>
      <c r="D33" s="1" t="s">
        <v>89</v>
      </c>
      <c r="E33" s="1" t="s">
        <v>99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4.75"/>
  </cols>
  <sheetData>
    <row r="1" ht="15.7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</row>
    <row r="2" ht="15.75" customHeight="1">
      <c r="A2" s="1" t="s">
        <v>12</v>
      </c>
      <c r="B2" s="1" t="s">
        <v>14</v>
      </c>
      <c r="C2" s="1" t="s">
        <v>16</v>
      </c>
      <c r="D2" s="1">
        <v>2.0</v>
      </c>
      <c r="E2" s="1" t="s">
        <v>19</v>
      </c>
    </row>
    <row r="3" ht="15.75" customHeight="1">
      <c r="B3" s="1" t="s">
        <v>14</v>
      </c>
      <c r="C3" s="1" t="s">
        <v>20</v>
      </c>
      <c r="D3" s="1">
        <v>1.0</v>
      </c>
      <c r="E3" s="1" t="s">
        <v>19</v>
      </c>
    </row>
    <row r="4" ht="15.75" customHeight="1">
      <c r="B4" s="1" t="s">
        <v>26</v>
      </c>
      <c r="C4" s="1" t="s">
        <v>11</v>
      </c>
      <c r="D4" s="1">
        <v>2.0</v>
      </c>
      <c r="E4" s="1" t="s">
        <v>19</v>
      </c>
    </row>
    <row r="5" ht="15.75" customHeight="1">
      <c r="C5" s="1" t="s">
        <v>32</v>
      </c>
      <c r="D5" s="1">
        <v>1.0</v>
      </c>
      <c r="E5" s="1" t="s">
        <v>19</v>
      </c>
    </row>
    <row r="6" ht="15.75" customHeight="1">
      <c r="A6" s="1">
        <v>8.146868132E9</v>
      </c>
      <c r="B6" s="1" t="s">
        <v>40</v>
      </c>
      <c r="C6" s="1" t="s">
        <v>43</v>
      </c>
      <c r="D6" s="1">
        <v>1.0</v>
      </c>
      <c r="E6" s="1" t="s">
        <v>19</v>
      </c>
    </row>
    <row r="7" ht="15.75" customHeight="1">
      <c r="A7" s="1">
        <v>9.1163472705E10</v>
      </c>
      <c r="B7" s="1" t="s">
        <v>33</v>
      </c>
      <c r="C7" s="1" t="s">
        <v>50</v>
      </c>
      <c r="D7" s="1">
        <v>1.0</v>
      </c>
      <c r="E7" s="1" t="s">
        <v>54</v>
      </c>
    </row>
    <row r="8" ht="15.75" customHeight="1">
      <c r="A8" s="1">
        <v>7.063472705E9</v>
      </c>
      <c r="B8" s="1" t="s">
        <v>33</v>
      </c>
      <c r="C8" s="1" t="s">
        <v>18</v>
      </c>
      <c r="D8" s="1">
        <v>1.0</v>
      </c>
      <c r="E8" s="1" t="s">
        <v>54</v>
      </c>
    </row>
    <row r="9" ht="15.75" customHeight="1">
      <c r="A9" s="1">
        <v>9.1163472705E10</v>
      </c>
      <c r="B9" s="1" t="s">
        <v>33</v>
      </c>
      <c r="C9" s="1" t="s">
        <v>59</v>
      </c>
      <c r="D9" s="1">
        <v>1.0</v>
      </c>
      <c r="E9" s="1" t="s">
        <v>54</v>
      </c>
    </row>
    <row r="10" ht="15.75" customHeight="1">
      <c r="A10" s="1">
        <v>8.032220343E9</v>
      </c>
      <c r="B10" s="1" t="s">
        <v>9</v>
      </c>
      <c r="C10" s="1" t="s">
        <v>65</v>
      </c>
      <c r="D10" s="1">
        <v>1.0</v>
      </c>
      <c r="E10" s="1" t="s">
        <v>54</v>
      </c>
    </row>
    <row r="11" ht="15.75" customHeight="1">
      <c r="A11" s="1">
        <v>7.060543708E9</v>
      </c>
      <c r="B11" s="1" t="s">
        <v>8</v>
      </c>
      <c r="C11" s="1" t="s">
        <v>48</v>
      </c>
      <c r="D11" s="1">
        <v>1.0</v>
      </c>
      <c r="E11" s="1" t="s">
        <v>54</v>
      </c>
    </row>
    <row r="12" ht="15.75" customHeight="1">
      <c r="A12" s="1">
        <v>7.060543708E9</v>
      </c>
      <c r="B12" s="1" t="s">
        <v>8</v>
      </c>
      <c r="C12" s="1" t="s">
        <v>73</v>
      </c>
      <c r="D12" s="1">
        <v>1.0</v>
      </c>
      <c r="E12" s="1" t="s">
        <v>54</v>
      </c>
    </row>
    <row r="13" ht="15.75" customHeight="1">
      <c r="A13" s="1">
        <v>9.032534163E9</v>
      </c>
      <c r="B13" s="1" t="s">
        <v>79</v>
      </c>
      <c r="C13" s="1" t="s">
        <v>48</v>
      </c>
      <c r="D13" s="1">
        <v>2.0</v>
      </c>
      <c r="E13" s="1" t="s">
        <v>54</v>
      </c>
    </row>
    <row r="14" ht="15.75" customHeight="1">
      <c r="A14" s="1">
        <v>9.032534163E9</v>
      </c>
      <c r="B14" s="1" t="s">
        <v>84</v>
      </c>
      <c r="C14" s="1" t="s">
        <v>85</v>
      </c>
      <c r="D14" s="1">
        <v>2.0</v>
      </c>
      <c r="E14" s="1" t="s">
        <v>54</v>
      </c>
    </row>
    <row r="15" ht="15.75" customHeight="1">
      <c r="A15" s="1">
        <v>8.039667706E9</v>
      </c>
      <c r="B15" s="1" t="s">
        <v>92</v>
      </c>
      <c r="C15" s="1" t="s">
        <v>16</v>
      </c>
      <c r="D15" s="1">
        <v>1.0</v>
      </c>
      <c r="E15" s="1" t="s">
        <v>96</v>
      </c>
    </row>
    <row r="16" ht="15.75" customHeight="1">
      <c r="A16" s="1">
        <v>8.039667706E9</v>
      </c>
      <c r="B16" s="1" t="s">
        <v>92</v>
      </c>
      <c r="C16" s="1" t="s">
        <v>98</v>
      </c>
      <c r="D16" s="1">
        <v>1.0</v>
      </c>
      <c r="E16" s="1" t="s">
        <v>96</v>
      </c>
    </row>
    <row r="17" ht="15.75" customHeight="1">
      <c r="C17" s="1" t="s">
        <v>101</v>
      </c>
      <c r="D17" s="1">
        <v>3.0</v>
      </c>
      <c r="E17" s="1" t="s">
        <v>103</v>
      </c>
    </row>
    <row r="18" ht="15.75" customHeight="1">
      <c r="A18" s="1">
        <v>8.097089018E9</v>
      </c>
      <c r="B18" s="1" t="s">
        <v>105</v>
      </c>
      <c r="C18" s="1" t="s">
        <v>20</v>
      </c>
      <c r="D18" s="1">
        <v>1.0</v>
      </c>
      <c r="E18" s="1" t="s">
        <v>107</v>
      </c>
    </row>
    <row r="19" ht="15.75" customHeight="1">
      <c r="A19" s="1">
        <v>8.097089018E9</v>
      </c>
      <c r="B19" s="1" t="s">
        <v>105</v>
      </c>
      <c r="C19" s="1" t="s">
        <v>16</v>
      </c>
      <c r="D19" s="1">
        <v>1.0</v>
      </c>
      <c r="E19" s="1" t="s">
        <v>107</v>
      </c>
    </row>
    <row r="20" ht="15.75" customHeight="1">
      <c r="A20" s="1">
        <v>8.097089018E9</v>
      </c>
      <c r="B20" s="1" t="s">
        <v>105</v>
      </c>
      <c r="C20" s="1" t="s">
        <v>22</v>
      </c>
      <c r="D20" s="1">
        <v>1.0</v>
      </c>
      <c r="E20" s="1" t="s">
        <v>107</v>
      </c>
    </row>
    <row r="21" ht="15.75" customHeight="1">
      <c r="A21" s="1">
        <v>8.097089018E9</v>
      </c>
      <c r="B21" s="1" t="s">
        <v>105</v>
      </c>
      <c r="C21" s="1" t="s">
        <v>113</v>
      </c>
      <c r="D21" s="1">
        <v>1.0</v>
      </c>
      <c r="E21" s="1" t="s">
        <v>107</v>
      </c>
    </row>
    <row r="22" ht="15.75" customHeight="1">
      <c r="A22" s="1">
        <v>8.097089018E9</v>
      </c>
      <c r="B22" s="1" t="s">
        <v>105</v>
      </c>
      <c r="C22" s="1" t="s">
        <v>116</v>
      </c>
      <c r="D22" s="1">
        <v>1.0</v>
      </c>
      <c r="E22" s="1" t="s">
        <v>107</v>
      </c>
    </row>
    <row r="23" ht="15.75" customHeight="1">
      <c r="A23" s="1">
        <v>7.067900985E9</v>
      </c>
      <c r="B23" s="1" t="s">
        <v>8</v>
      </c>
      <c r="C23" s="1" t="s">
        <v>22</v>
      </c>
      <c r="D23" s="1">
        <v>1.0</v>
      </c>
      <c r="E23" s="1" t="s">
        <v>107</v>
      </c>
    </row>
    <row r="24" ht="15.75" customHeight="1">
      <c r="A24" s="1">
        <v>7.067900985E9</v>
      </c>
      <c r="B24" s="1" t="s">
        <v>8</v>
      </c>
      <c r="C24" s="1" t="s">
        <v>121</v>
      </c>
      <c r="D24" s="1">
        <v>1.0</v>
      </c>
      <c r="E24" s="1" t="s">
        <v>107</v>
      </c>
    </row>
    <row r="25" ht="15.75" customHeight="1">
      <c r="A25" s="1">
        <v>7.067900985E9</v>
      </c>
      <c r="B25" s="1" t="s">
        <v>8</v>
      </c>
      <c r="C25" s="1" t="s">
        <v>123</v>
      </c>
      <c r="D25" s="1">
        <v>1.0</v>
      </c>
      <c r="E25" s="1" t="s">
        <v>107</v>
      </c>
    </row>
    <row r="26" ht="15.75" customHeight="1">
      <c r="A26" s="1">
        <v>7.067900985E9</v>
      </c>
      <c r="B26" s="1" t="s">
        <v>8</v>
      </c>
      <c r="C26" s="1" t="s">
        <v>16</v>
      </c>
      <c r="D26" s="1">
        <v>1.0</v>
      </c>
      <c r="E26" s="1" t="s">
        <v>107</v>
      </c>
    </row>
    <row r="27" ht="15.75" customHeight="1">
      <c r="A27" s="1">
        <v>8.033343151E9</v>
      </c>
      <c r="B27" s="1" t="s">
        <v>127</v>
      </c>
      <c r="C27" s="1" t="s">
        <v>16</v>
      </c>
      <c r="D27" s="1">
        <v>1.0</v>
      </c>
      <c r="E27" s="1" t="s">
        <v>128</v>
      </c>
    </row>
    <row r="28" ht="15.75" customHeight="1">
      <c r="A28" s="1">
        <v>8.136446085E9</v>
      </c>
      <c r="B28" s="1" t="s">
        <v>129</v>
      </c>
      <c r="C28" s="1" t="s">
        <v>130</v>
      </c>
      <c r="D28" s="1">
        <v>1.0</v>
      </c>
      <c r="E28" s="1" t="s">
        <v>131</v>
      </c>
    </row>
    <row r="29" ht="15.75" customHeight="1">
      <c r="A29" s="1">
        <v>9.014880117E9</v>
      </c>
      <c r="B29" s="1" t="s">
        <v>8</v>
      </c>
      <c r="C29" s="1" t="s">
        <v>48</v>
      </c>
      <c r="D29" s="1">
        <v>1.0</v>
      </c>
      <c r="E29" s="1" t="s">
        <v>132</v>
      </c>
    </row>
    <row r="30" ht="15.75" customHeight="1">
      <c r="A30" s="1">
        <v>8.136446085E9</v>
      </c>
      <c r="B30" s="1" t="s">
        <v>129</v>
      </c>
      <c r="C30" s="1" t="s">
        <v>16</v>
      </c>
      <c r="D30" s="1">
        <v>1.0</v>
      </c>
      <c r="E30" s="1" t="s">
        <v>133</v>
      </c>
    </row>
    <row r="31" ht="15.75" customHeight="1">
      <c r="B31" s="1" t="s">
        <v>42</v>
      </c>
      <c r="C31" s="1" t="s">
        <v>134</v>
      </c>
      <c r="D31" s="1">
        <v>1.0</v>
      </c>
      <c r="E31" s="1" t="s">
        <v>132</v>
      </c>
    </row>
    <row r="32" ht="15.75" customHeight="1">
      <c r="B32" s="1" t="s">
        <v>42</v>
      </c>
      <c r="C32" s="1" t="s">
        <v>16</v>
      </c>
      <c r="D32" s="1">
        <v>1.0</v>
      </c>
      <c r="E32" s="1" t="s">
        <v>132</v>
      </c>
    </row>
    <row r="33" ht="15.75" customHeight="1">
      <c r="B33" s="1" t="s">
        <v>25</v>
      </c>
      <c r="C33" s="1" t="s">
        <v>135</v>
      </c>
      <c r="D33" s="1">
        <v>1.0</v>
      </c>
      <c r="E33" s="1" t="s">
        <v>133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9.38"/>
  </cols>
  <sheetData>
    <row r="1" ht="15.75" customHeight="1">
      <c r="A1" s="1" t="s">
        <v>136</v>
      </c>
      <c r="B1" s="1" t="s">
        <v>1</v>
      </c>
      <c r="C1" s="1" t="s">
        <v>2</v>
      </c>
      <c r="D1" s="1" t="s">
        <v>5</v>
      </c>
      <c r="E1" s="1" t="s">
        <v>137</v>
      </c>
    </row>
    <row r="2" ht="15.75" customHeight="1">
      <c r="A2" s="1">
        <v>8.034623817E9</v>
      </c>
      <c r="B2" s="1" t="s">
        <v>138</v>
      </c>
      <c r="C2" s="1" t="s">
        <v>59</v>
      </c>
      <c r="D2" s="1">
        <v>2.0</v>
      </c>
      <c r="E2" s="1" t="s">
        <v>139</v>
      </c>
    </row>
    <row r="3" ht="15.75" customHeight="1">
      <c r="A3" s="1">
        <v>8.0463984E7</v>
      </c>
      <c r="B3" s="1" t="s">
        <v>140</v>
      </c>
      <c r="C3" s="1" t="s">
        <v>95</v>
      </c>
      <c r="D3" s="1">
        <v>2.0</v>
      </c>
      <c r="E3" s="1" t="s">
        <v>139</v>
      </c>
    </row>
    <row r="4" ht="15.75" customHeight="1">
      <c r="A4" s="1">
        <v>8.03254229E8</v>
      </c>
      <c r="B4" s="1" t="s">
        <v>125</v>
      </c>
      <c r="C4" s="1" t="s">
        <v>141</v>
      </c>
      <c r="D4" s="1">
        <v>1.0</v>
      </c>
      <c r="E4" s="1" t="s">
        <v>139</v>
      </c>
    </row>
    <row r="5" ht="15.75" customHeight="1">
      <c r="A5" s="1" t="s">
        <v>142</v>
      </c>
      <c r="B5" s="1" t="s">
        <v>143</v>
      </c>
      <c r="C5" s="1" t="s">
        <v>21</v>
      </c>
      <c r="D5" s="1">
        <v>2.0</v>
      </c>
      <c r="E5" s="1" t="s">
        <v>144</v>
      </c>
    </row>
    <row r="6" ht="15.75" customHeight="1">
      <c r="A6" s="1">
        <v>8.135846163E9</v>
      </c>
      <c r="B6" s="1" t="s">
        <v>125</v>
      </c>
      <c r="C6" s="1" t="s">
        <v>145</v>
      </c>
      <c r="D6" s="1">
        <v>2.0</v>
      </c>
      <c r="E6" s="1" t="s">
        <v>144</v>
      </c>
    </row>
    <row r="7" ht="15.75" customHeight="1">
      <c r="A7" s="1">
        <v>7.046822557E9</v>
      </c>
      <c r="B7" s="1" t="s">
        <v>33</v>
      </c>
      <c r="C7" s="1" t="s">
        <v>146</v>
      </c>
      <c r="D7" s="1">
        <v>1.0</v>
      </c>
      <c r="E7" s="1" t="s">
        <v>144</v>
      </c>
    </row>
    <row r="8" ht="15.75" customHeight="1">
      <c r="A8" s="1">
        <v>7.046822557E9</v>
      </c>
      <c r="B8" s="1" t="s">
        <v>33</v>
      </c>
      <c r="C8" s="1" t="s">
        <v>147</v>
      </c>
      <c r="D8" s="1">
        <v>1.0</v>
      </c>
      <c r="E8" s="1" t="s">
        <v>144</v>
      </c>
    </row>
    <row r="9" ht="15.75" customHeight="1">
      <c r="A9" s="1">
        <v>8.035846163E9</v>
      </c>
      <c r="B9" s="1" t="s">
        <v>125</v>
      </c>
      <c r="C9" s="1" t="s">
        <v>97</v>
      </c>
      <c r="D9" s="1">
        <v>2.0</v>
      </c>
      <c r="E9" s="1" t="s">
        <v>144</v>
      </c>
    </row>
    <row r="10" ht="15.75" customHeight="1">
      <c r="B10" s="1" t="s">
        <v>47</v>
      </c>
      <c r="C10" s="1" t="s">
        <v>57</v>
      </c>
      <c r="D10" s="1">
        <v>2.0</v>
      </c>
      <c r="E10" s="1" t="s">
        <v>144</v>
      </c>
    </row>
    <row r="11" ht="15.75" customHeight="1">
      <c r="A11" s="1">
        <v>9.037349461E9</v>
      </c>
      <c r="B11" s="1" t="s">
        <v>53</v>
      </c>
      <c r="C11" s="1" t="s">
        <v>148</v>
      </c>
      <c r="D11" s="1">
        <v>2.0</v>
      </c>
      <c r="E11" s="1" t="s">
        <v>149</v>
      </c>
    </row>
    <row r="12" ht="15.75" customHeight="1">
      <c r="A12" s="1">
        <v>8.035655076E9</v>
      </c>
      <c r="B12" s="1" t="s">
        <v>150</v>
      </c>
      <c r="C12" s="1" t="s">
        <v>95</v>
      </c>
      <c r="D12" s="1">
        <v>3.0</v>
      </c>
      <c r="E12" s="1" t="s">
        <v>149</v>
      </c>
    </row>
    <row r="13" ht="15.75" customHeight="1">
      <c r="A13" s="1">
        <v>8.035655076E9</v>
      </c>
      <c r="B13" s="1" t="s">
        <v>151</v>
      </c>
      <c r="C13" s="1" t="s">
        <v>152</v>
      </c>
      <c r="D13" s="1">
        <v>1.0</v>
      </c>
      <c r="E13" s="1" t="s">
        <v>153</v>
      </c>
    </row>
    <row r="14" ht="15.75" customHeight="1">
      <c r="A14" s="1">
        <v>8.034240881E9</v>
      </c>
      <c r="B14" s="1" t="s">
        <v>154</v>
      </c>
      <c r="C14" s="1" t="s">
        <v>126</v>
      </c>
      <c r="D14" s="1">
        <v>1.0</v>
      </c>
      <c r="E14" s="1" t="s">
        <v>155</v>
      </c>
    </row>
    <row r="15" ht="15.75" customHeight="1">
      <c r="A15" s="1">
        <v>8.034363923E9</v>
      </c>
      <c r="B15" s="1" t="s">
        <v>9</v>
      </c>
      <c r="C15" s="1" t="s">
        <v>83</v>
      </c>
      <c r="D15" s="1">
        <v>2.0</v>
      </c>
      <c r="E15" s="1" t="s">
        <v>149</v>
      </c>
    </row>
    <row r="16" ht="15.75" customHeight="1">
      <c r="A16" s="1">
        <v>7.071237348E9</v>
      </c>
      <c r="B16" s="1" t="s">
        <v>47</v>
      </c>
      <c r="C16" s="1" t="s">
        <v>83</v>
      </c>
      <c r="D16" s="1">
        <v>2.0</v>
      </c>
      <c r="E16" s="2">
        <v>46030.0</v>
      </c>
    </row>
    <row r="17" ht="15.75" customHeight="1">
      <c r="A17" s="1">
        <v>8.16383825E9</v>
      </c>
      <c r="B17" s="1" t="s">
        <v>47</v>
      </c>
      <c r="C17" s="1" t="s">
        <v>83</v>
      </c>
      <c r="D17" s="1">
        <v>1.0</v>
      </c>
      <c r="E17" s="2">
        <v>46030.0</v>
      </c>
    </row>
    <row r="18" ht="15.75" customHeight="1">
      <c r="A18" s="1">
        <v>9.036852785E9</v>
      </c>
      <c r="B18" s="1" t="s">
        <v>47</v>
      </c>
      <c r="C18" s="1" t="s">
        <v>156</v>
      </c>
      <c r="D18" s="1">
        <v>1.0</v>
      </c>
      <c r="E18" s="2">
        <v>46089.0</v>
      </c>
    </row>
    <row r="19" ht="15.75" customHeight="1">
      <c r="A19" s="1">
        <v>8.063088411E9</v>
      </c>
      <c r="B19" s="1" t="s">
        <v>157</v>
      </c>
      <c r="C19" s="1" t="s">
        <v>158</v>
      </c>
      <c r="D19" s="1">
        <v>2.0</v>
      </c>
      <c r="E19" s="2">
        <v>46089.0</v>
      </c>
    </row>
    <row r="20" ht="15.75" customHeight="1">
      <c r="A20" s="1">
        <v>9.024852188E9</v>
      </c>
      <c r="B20" s="1" t="s">
        <v>25</v>
      </c>
      <c r="C20" s="1" t="s">
        <v>159</v>
      </c>
      <c r="D20" s="1">
        <v>1.0</v>
      </c>
      <c r="E20" s="2">
        <v>46150.0</v>
      </c>
    </row>
    <row r="21" ht="15.75" customHeight="1">
      <c r="A21" s="1">
        <v>9.024852188E9</v>
      </c>
      <c r="B21" s="1" t="s">
        <v>25</v>
      </c>
      <c r="C21" s="1" t="s">
        <v>160</v>
      </c>
      <c r="D21" s="1">
        <v>1.0</v>
      </c>
      <c r="E21" s="2">
        <v>46150.0</v>
      </c>
    </row>
    <row r="22" ht="15.75" customHeight="1">
      <c r="A22" s="1">
        <v>9.024852188E9</v>
      </c>
      <c r="B22" s="1" t="s">
        <v>25</v>
      </c>
      <c r="C22" s="1" t="s">
        <v>161</v>
      </c>
      <c r="D22" s="1">
        <v>1.0</v>
      </c>
      <c r="E22" s="2">
        <v>46150.0</v>
      </c>
    </row>
    <row r="23" ht="15.75" customHeight="1">
      <c r="A23" s="1">
        <v>9.161382849E9</v>
      </c>
      <c r="B23" s="1" t="s">
        <v>162</v>
      </c>
      <c r="C23" s="1" t="s">
        <v>95</v>
      </c>
      <c r="D23" s="1">
        <v>1.0</v>
      </c>
      <c r="E23" s="2">
        <v>46150.0</v>
      </c>
    </row>
    <row r="24" ht="15.75" customHeight="1">
      <c r="A24" s="1">
        <v>8.163854758E9</v>
      </c>
      <c r="B24" s="1" t="s">
        <v>47</v>
      </c>
      <c r="C24" s="1" t="s">
        <v>61</v>
      </c>
      <c r="D24" s="1">
        <v>1.0</v>
      </c>
      <c r="E24" s="2">
        <v>46181.0</v>
      </c>
    </row>
    <row r="25" ht="15.75" customHeight="1">
      <c r="A25" s="1">
        <v>7.039718944E9</v>
      </c>
      <c r="B25" s="1" t="s">
        <v>163</v>
      </c>
      <c r="C25" s="1" t="s">
        <v>164</v>
      </c>
      <c r="D25" s="1">
        <v>1.0</v>
      </c>
      <c r="E25" s="2">
        <v>46181.0</v>
      </c>
    </row>
    <row r="26" ht="15.75" customHeight="1">
      <c r="A26" s="1">
        <v>7.039718944E9</v>
      </c>
      <c r="B26" s="1" t="s">
        <v>165</v>
      </c>
      <c r="C26" s="1" t="s">
        <v>166</v>
      </c>
      <c r="D26" s="1">
        <v>1.0</v>
      </c>
      <c r="E26" s="2">
        <v>46181.0</v>
      </c>
    </row>
    <row r="27" ht="15.75" customHeight="1">
      <c r="A27" s="1">
        <v>7.039718944E9</v>
      </c>
      <c r="B27" s="1" t="s">
        <v>165</v>
      </c>
      <c r="C27" s="1" t="s">
        <v>65</v>
      </c>
      <c r="D27" s="1">
        <v>1.0</v>
      </c>
      <c r="E27" s="2">
        <v>46181.0</v>
      </c>
    </row>
    <row r="28" ht="15.75" customHeight="1">
      <c r="A28" s="1">
        <v>8.034863417E9</v>
      </c>
      <c r="B28" s="1" t="s">
        <v>42</v>
      </c>
      <c r="C28" s="1" t="s">
        <v>31</v>
      </c>
      <c r="D28" s="1">
        <v>1.0</v>
      </c>
      <c r="E28" s="2">
        <v>46181.0</v>
      </c>
    </row>
    <row r="29" ht="15.75" customHeight="1">
      <c r="C29" s="1" t="s">
        <v>34</v>
      </c>
      <c r="D29" s="1">
        <v>4.0</v>
      </c>
      <c r="E29" s="2">
        <v>46211.0</v>
      </c>
    </row>
    <row r="30" ht="15.75" customHeight="1">
      <c r="C30" s="1" t="s">
        <v>31</v>
      </c>
      <c r="D30" s="1">
        <v>4.0</v>
      </c>
      <c r="E30" s="2">
        <v>46211.0</v>
      </c>
    </row>
    <row r="31" ht="15.75" customHeight="1">
      <c r="C31" s="1" t="s">
        <v>10</v>
      </c>
      <c r="D31" s="1">
        <v>2.0</v>
      </c>
      <c r="E31" s="2">
        <v>46061.0</v>
      </c>
    </row>
    <row r="32" ht="15.75" customHeight="1">
      <c r="A32" s="1">
        <v>8.035131868E9</v>
      </c>
      <c r="B32" s="1" t="s">
        <v>167</v>
      </c>
      <c r="C32" s="1" t="s">
        <v>49</v>
      </c>
      <c r="D32" s="1">
        <v>1.0</v>
      </c>
      <c r="E32" s="2">
        <v>46061.0</v>
      </c>
    </row>
    <row r="33" ht="15.75" customHeight="1">
      <c r="A33" s="1">
        <v>8.035131868E9</v>
      </c>
      <c r="B33" s="1" t="s">
        <v>42</v>
      </c>
      <c r="C33" s="1" t="s">
        <v>16</v>
      </c>
      <c r="D33" s="1">
        <v>1.0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5.0"/>
  </cols>
  <sheetData>
    <row r="1" ht="15.7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</row>
    <row r="2" ht="15.75" customHeight="1">
      <c r="A2" s="1">
        <v>8.036205454E9</v>
      </c>
      <c r="B2" s="1" t="s">
        <v>168</v>
      </c>
      <c r="C2" s="1" t="s">
        <v>22</v>
      </c>
      <c r="D2" s="1">
        <v>1.0</v>
      </c>
      <c r="E2" s="2">
        <v>46362.0</v>
      </c>
    </row>
    <row r="3" ht="15.75" customHeight="1">
      <c r="A3" s="1">
        <v>8.036205454E9</v>
      </c>
      <c r="B3" s="1" t="s">
        <v>168</v>
      </c>
      <c r="C3" s="1" t="s">
        <v>169</v>
      </c>
      <c r="D3" s="1">
        <v>1.0</v>
      </c>
      <c r="E3" s="2">
        <v>46362.0</v>
      </c>
    </row>
    <row r="4" ht="15.75" customHeight="1">
      <c r="A4" s="1">
        <v>8.036205454E9</v>
      </c>
      <c r="B4" s="1" t="s">
        <v>168</v>
      </c>
      <c r="C4" s="1" t="s">
        <v>58</v>
      </c>
      <c r="D4" s="1">
        <v>1.0</v>
      </c>
      <c r="E4" s="2">
        <v>46362.0</v>
      </c>
    </row>
    <row r="5" ht="15.75" customHeight="1">
      <c r="A5" s="1">
        <v>8.036205454E9</v>
      </c>
      <c r="B5" s="1" t="s">
        <v>168</v>
      </c>
      <c r="C5" s="1" t="s">
        <v>97</v>
      </c>
      <c r="D5" s="1">
        <v>1.0</v>
      </c>
      <c r="E5" s="2">
        <v>46362.0</v>
      </c>
    </row>
    <row r="6" ht="15.75" customHeight="1">
      <c r="A6" s="1">
        <v>8.033914922E9</v>
      </c>
      <c r="B6" s="1" t="s">
        <v>171</v>
      </c>
      <c r="C6" s="1" t="s">
        <v>172</v>
      </c>
      <c r="D6" s="1">
        <v>1.0</v>
      </c>
      <c r="E6" s="1" t="s">
        <v>173</v>
      </c>
    </row>
    <row r="7" ht="15.75" customHeight="1">
      <c r="A7" s="1">
        <v>8.164386288E9</v>
      </c>
      <c r="B7" s="1" t="s">
        <v>174</v>
      </c>
      <c r="C7" s="1" t="s">
        <v>61</v>
      </c>
      <c r="D7" s="1">
        <v>1.0</v>
      </c>
      <c r="E7" s="1" t="s">
        <v>173</v>
      </c>
    </row>
    <row r="8" ht="15.75" customHeight="1">
      <c r="A8" s="1">
        <v>8.067563481E9</v>
      </c>
      <c r="B8" s="1" t="s">
        <v>175</v>
      </c>
      <c r="C8" s="1" t="s">
        <v>22</v>
      </c>
      <c r="D8" s="1">
        <v>3.0</v>
      </c>
      <c r="E8" s="1" t="s">
        <v>173</v>
      </c>
    </row>
    <row r="9" ht="15.75" customHeight="1">
      <c r="A9" s="1">
        <v>8.039361062E9</v>
      </c>
      <c r="B9" s="1" t="s">
        <v>72</v>
      </c>
      <c r="C9" s="1" t="s">
        <v>22</v>
      </c>
      <c r="D9" s="1">
        <v>1.0</v>
      </c>
      <c r="E9" s="1" t="s">
        <v>173</v>
      </c>
    </row>
    <row r="10" ht="15.75" customHeight="1">
      <c r="A10" s="1">
        <v>8.033914922E9</v>
      </c>
      <c r="B10" s="1" t="s">
        <v>171</v>
      </c>
      <c r="C10" s="1" t="s">
        <v>61</v>
      </c>
      <c r="D10" s="1">
        <v>1.0</v>
      </c>
      <c r="E10" s="1" t="s">
        <v>173</v>
      </c>
    </row>
    <row r="11" ht="15.75" customHeight="1">
      <c r="A11" s="1">
        <v>9.031212133E9</v>
      </c>
      <c r="B11" s="1" t="s">
        <v>92</v>
      </c>
      <c r="C11" s="1" t="s">
        <v>58</v>
      </c>
      <c r="D11" s="1">
        <v>2.0</v>
      </c>
      <c r="E11" s="1" t="s">
        <v>173</v>
      </c>
    </row>
    <row r="12" ht="15.75" customHeight="1">
      <c r="A12" s="1">
        <v>8.037262183E9</v>
      </c>
      <c r="B12" s="1" t="s">
        <v>92</v>
      </c>
      <c r="C12" s="1" t="s">
        <v>178</v>
      </c>
      <c r="D12" s="1">
        <v>1.0</v>
      </c>
      <c r="E12" s="1" t="s">
        <v>173</v>
      </c>
    </row>
    <row r="13" ht="15.75" customHeight="1">
      <c r="A13" s="1">
        <v>9.040570411E9</v>
      </c>
      <c r="B13" s="1" t="s">
        <v>72</v>
      </c>
      <c r="C13" s="1" t="s">
        <v>179</v>
      </c>
      <c r="D13" s="1">
        <v>1.0</v>
      </c>
      <c r="E13" s="1" t="s">
        <v>181</v>
      </c>
    </row>
    <row r="14" ht="15.75" customHeight="1">
      <c r="A14" s="1">
        <v>9.070520411E9</v>
      </c>
      <c r="B14" s="1" t="s">
        <v>72</v>
      </c>
      <c r="C14" s="1" t="s">
        <v>57</v>
      </c>
      <c r="D14" s="1">
        <v>1.0</v>
      </c>
      <c r="E14" s="1" t="s">
        <v>181</v>
      </c>
    </row>
    <row r="15" ht="15.75" customHeight="1">
      <c r="A15" s="1">
        <v>8.037329451E9</v>
      </c>
      <c r="B15" s="1" t="s">
        <v>53</v>
      </c>
      <c r="C15" s="1" t="s">
        <v>183</v>
      </c>
      <c r="D15" s="1">
        <v>2.0</v>
      </c>
      <c r="E15" s="1" t="s">
        <v>181</v>
      </c>
    </row>
    <row r="16" ht="15.75" customHeight="1">
      <c r="A16" s="1">
        <v>7.054883458E9</v>
      </c>
      <c r="B16" s="1" t="s">
        <v>184</v>
      </c>
      <c r="C16" s="1" t="s">
        <v>185</v>
      </c>
      <c r="D16" s="1">
        <v>1.0</v>
      </c>
      <c r="E16" s="1" t="s">
        <v>181</v>
      </c>
    </row>
    <row r="17" ht="15.75" customHeight="1">
      <c r="A17" s="1">
        <v>8.025088942E9</v>
      </c>
      <c r="B17" s="1" t="s">
        <v>186</v>
      </c>
      <c r="C17" s="1" t="s">
        <v>83</v>
      </c>
      <c r="D17" s="1">
        <v>1.0</v>
      </c>
      <c r="E17" s="1" t="s">
        <v>181</v>
      </c>
    </row>
    <row r="18" ht="15.75" customHeight="1">
      <c r="A18" s="1">
        <v>8.036642661E9</v>
      </c>
      <c r="B18" s="1" t="s">
        <v>188</v>
      </c>
      <c r="C18" s="1" t="s">
        <v>104</v>
      </c>
      <c r="D18" s="1">
        <v>3.0</v>
      </c>
      <c r="E18" s="1" t="s">
        <v>189</v>
      </c>
    </row>
    <row r="19" ht="15.75" customHeight="1">
      <c r="A19" s="1">
        <v>8.030828539E9</v>
      </c>
      <c r="B19" s="1" t="s">
        <v>191</v>
      </c>
      <c r="C19" s="1" t="s">
        <v>183</v>
      </c>
      <c r="D19" s="1">
        <v>3.0</v>
      </c>
      <c r="E19" s="1" t="s">
        <v>193</v>
      </c>
    </row>
    <row r="20" ht="15.75" customHeight="1">
      <c r="A20" s="1">
        <v>7.033720253E9</v>
      </c>
      <c r="B20" s="1" t="s">
        <v>194</v>
      </c>
      <c r="C20" s="1" t="s">
        <v>83</v>
      </c>
      <c r="D20" s="1">
        <v>1.0</v>
      </c>
      <c r="E20" s="1" t="s">
        <v>193</v>
      </c>
    </row>
    <row r="21" ht="15.75" customHeight="1">
      <c r="A21" s="1">
        <v>8.064623987E9</v>
      </c>
      <c r="B21" s="1" t="s">
        <v>196</v>
      </c>
      <c r="C21" s="1" t="s">
        <v>58</v>
      </c>
      <c r="D21" s="1">
        <v>2.0</v>
      </c>
      <c r="E21" s="1" t="s">
        <v>189</v>
      </c>
    </row>
    <row r="22" ht="15.75" customHeight="1">
      <c r="A22" s="1">
        <v>8.064623987E9</v>
      </c>
      <c r="B22" s="1" t="s">
        <v>196</v>
      </c>
      <c r="C22" s="1" t="s">
        <v>83</v>
      </c>
      <c r="D22" s="1">
        <v>3.0</v>
      </c>
      <c r="E22" s="1" t="s">
        <v>189</v>
      </c>
    </row>
    <row r="23" ht="15.75" customHeight="1">
      <c r="A23" s="1">
        <v>8.064623987E9</v>
      </c>
      <c r="B23" s="1" t="s">
        <v>196</v>
      </c>
      <c r="C23" s="1" t="s">
        <v>24</v>
      </c>
      <c r="D23" s="1">
        <v>3.0</v>
      </c>
      <c r="E23" s="1" t="s">
        <v>189</v>
      </c>
    </row>
    <row r="24" ht="15.75" customHeight="1">
      <c r="A24" s="1">
        <v>8.027285517E9</v>
      </c>
      <c r="B24" s="1" t="s">
        <v>198</v>
      </c>
      <c r="C24" s="1" t="s">
        <v>199</v>
      </c>
      <c r="D24" s="1">
        <v>1.0</v>
      </c>
      <c r="E24" s="1" t="s">
        <v>189</v>
      </c>
    </row>
    <row r="25" ht="15.75" customHeight="1">
      <c r="A25" s="1">
        <v>8.138175555E9</v>
      </c>
      <c r="B25" s="1" t="s">
        <v>200</v>
      </c>
      <c r="C25" s="1" t="s">
        <v>201</v>
      </c>
      <c r="D25" s="1">
        <v>2.0</v>
      </c>
      <c r="E25" s="1" t="s">
        <v>202</v>
      </c>
    </row>
    <row r="26" ht="15.75" customHeight="1">
      <c r="A26" s="1">
        <v>7.03527445E8</v>
      </c>
      <c r="B26" s="1" t="s">
        <v>203</v>
      </c>
      <c r="C26" s="1" t="s">
        <v>97</v>
      </c>
      <c r="D26" s="1">
        <v>1.0</v>
      </c>
      <c r="E26" s="1" t="s">
        <v>202</v>
      </c>
    </row>
    <row r="27" ht="15.75" customHeight="1">
      <c r="A27" s="1">
        <v>9.039964234E9</v>
      </c>
      <c r="B27" s="1" t="s">
        <v>205</v>
      </c>
      <c r="C27" s="1" t="s">
        <v>83</v>
      </c>
      <c r="D27" s="1">
        <v>4.0</v>
      </c>
      <c r="E27" s="1" t="s">
        <v>202</v>
      </c>
    </row>
    <row r="28" ht="15.75" customHeight="1">
      <c r="A28" s="1">
        <v>9.039964234E9</v>
      </c>
      <c r="B28" s="1" t="s">
        <v>205</v>
      </c>
      <c r="C28" s="1" t="s">
        <v>22</v>
      </c>
      <c r="D28" s="1">
        <v>2.0</v>
      </c>
      <c r="E28" s="1" t="s">
        <v>202</v>
      </c>
    </row>
    <row r="29" ht="15.75" customHeight="1">
      <c r="A29" s="1">
        <v>7.015529016E9</v>
      </c>
      <c r="B29" s="1" t="s">
        <v>206</v>
      </c>
      <c r="C29" s="1" t="s">
        <v>22</v>
      </c>
      <c r="D29" s="1">
        <v>2.0</v>
      </c>
      <c r="E29" s="1" t="s">
        <v>202</v>
      </c>
    </row>
    <row r="30" ht="15.75" customHeight="1">
      <c r="A30" s="1">
        <v>7.030454392E9</v>
      </c>
      <c r="B30" s="1" t="s">
        <v>207</v>
      </c>
      <c r="C30" s="1" t="s">
        <v>22</v>
      </c>
      <c r="D30" s="1">
        <v>1.0</v>
      </c>
      <c r="E30" s="1" t="s">
        <v>202</v>
      </c>
    </row>
    <row r="31" ht="15.75" customHeight="1">
      <c r="A31" s="1">
        <v>8.035981229E9</v>
      </c>
      <c r="B31" s="1" t="s">
        <v>76</v>
      </c>
      <c r="C31" s="1" t="s">
        <v>22</v>
      </c>
      <c r="D31" s="1">
        <v>1.0</v>
      </c>
      <c r="E31" s="1" t="s">
        <v>202</v>
      </c>
    </row>
    <row r="32" ht="15.75" customHeight="1">
      <c r="A32" s="1">
        <v>7.064909871E9</v>
      </c>
      <c r="B32" s="1" t="s">
        <v>208</v>
      </c>
      <c r="C32" s="1" t="s">
        <v>22</v>
      </c>
      <c r="D32" s="1">
        <v>3.0</v>
      </c>
      <c r="E32" s="1" t="s">
        <v>202</v>
      </c>
    </row>
    <row r="33" ht="15.75" customHeight="1">
      <c r="A33" s="1">
        <v>8.036709982E9</v>
      </c>
      <c r="B33" s="1" t="s">
        <v>209</v>
      </c>
      <c r="C33" s="1" t="s">
        <v>22</v>
      </c>
      <c r="D33" s="1">
        <v>1.0</v>
      </c>
      <c r="E33" s="1" t="s">
        <v>202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4.75"/>
  </cols>
  <sheetData>
    <row r="1" ht="15.7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</row>
    <row r="2" ht="15.75" customHeight="1">
      <c r="A2" s="1">
        <v>8.137427436E9</v>
      </c>
      <c r="B2" s="1" t="s">
        <v>25</v>
      </c>
      <c r="C2" s="1" t="s">
        <v>83</v>
      </c>
      <c r="D2" s="1">
        <v>1.0</v>
      </c>
      <c r="E2" s="2">
        <v>46272.0</v>
      </c>
    </row>
    <row r="3" ht="15.75" customHeight="1">
      <c r="A3" s="1">
        <v>8.069128133E9</v>
      </c>
      <c r="B3" s="1" t="s">
        <v>25</v>
      </c>
      <c r="C3" s="1" t="s">
        <v>170</v>
      </c>
      <c r="D3" s="1">
        <v>1.0</v>
      </c>
      <c r="E3" s="2">
        <v>46272.0</v>
      </c>
    </row>
    <row r="4" ht="15.75" customHeight="1">
      <c r="A4" s="1">
        <v>9.137235655E9</v>
      </c>
      <c r="B4" s="1" t="s">
        <v>47</v>
      </c>
      <c r="C4" s="1" t="s">
        <v>22</v>
      </c>
      <c r="D4" s="1">
        <v>2.0</v>
      </c>
      <c r="E4" s="2">
        <v>46272.0</v>
      </c>
    </row>
    <row r="5" ht="15.75" customHeight="1">
      <c r="A5" s="1">
        <v>9.137235655E9</v>
      </c>
      <c r="B5" s="1" t="s">
        <v>47</v>
      </c>
      <c r="C5" s="1" t="s">
        <v>61</v>
      </c>
      <c r="D5" s="1">
        <v>2.0</v>
      </c>
      <c r="E5" s="2">
        <v>46272.0</v>
      </c>
    </row>
    <row r="6" ht="15.75" customHeight="1">
      <c r="A6" s="1">
        <v>9.137235655E9</v>
      </c>
      <c r="B6" s="1" t="s">
        <v>47</v>
      </c>
      <c r="C6" s="1" t="s">
        <v>61</v>
      </c>
      <c r="D6" s="1">
        <v>1.0</v>
      </c>
      <c r="E6" s="2">
        <v>46272.0</v>
      </c>
    </row>
    <row r="7" ht="15.75" customHeight="1">
      <c r="A7" s="1">
        <v>8.038479838E9</v>
      </c>
      <c r="B7" s="1" t="s">
        <v>92</v>
      </c>
      <c r="C7" s="1" t="s">
        <v>176</v>
      </c>
      <c r="D7" s="1">
        <v>1.0</v>
      </c>
      <c r="E7" s="2">
        <v>46302.0</v>
      </c>
    </row>
    <row r="8" ht="15.75" customHeight="1">
      <c r="A8" s="1">
        <v>8.038479838E9</v>
      </c>
      <c r="B8" s="1" t="s">
        <v>92</v>
      </c>
      <c r="C8" s="1" t="s">
        <v>58</v>
      </c>
      <c r="D8" s="1">
        <v>2.0</v>
      </c>
      <c r="E8" s="2">
        <v>46302.0</v>
      </c>
    </row>
    <row r="9" ht="15.75" customHeight="1">
      <c r="A9" s="1">
        <v>8.038479838E9</v>
      </c>
      <c r="B9" s="1" t="s">
        <v>92</v>
      </c>
      <c r="C9" s="1" t="s">
        <v>48</v>
      </c>
      <c r="D9" s="1">
        <v>1.0</v>
      </c>
      <c r="E9" s="2">
        <v>46363.0</v>
      </c>
    </row>
    <row r="10" ht="15.75" customHeight="1">
      <c r="A10" s="1">
        <v>8.068219822E9</v>
      </c>
      <c r="B10" s="1" t="s">
        <v>9</v>
      </c>
      <c r="C10" s="1" t="s">
        <v>177</v>
      </c>
      <c r="D10" s="1">
        <v>1.0</v>
      </c>
      <c r="E10" s="2">
        <v>46363.0</v>
      </c>
    </row>
    <row r="11" ht="15.75" customHeight="1">
      <c r="A11" s="1">
        <v>8.038921564E9</v>
      </c>
      <c r="B11" s="1" t="s">
        <v>42</v>
      </c>
      <c r="C11" s="1" t="s">
        <v>16</v>
      </c>
      <c r="D11" s="1">
        <v>1.0</v>
      </c>
      <c r="E11" s="2">
        <v>46363.0</v>
      </c>
    </row>
    <row r="12" ht="15.75" customHeight="1">
      <c r="A12" s="1">
        <v>8.038921564E9</v>
      </c>
      <c r="B12" s="1" t="s">
        <v>42</v>
      </c>
      <c r="C12" s="1" t="s">
        <v>83</v>
      </c>
      <c r="D12" s="1">
        <v>1.0</v>
      </c>
      <c r="E12" s="1" t="s">
        <v>180</v>
      </c>
    </row>
    <row r="13" ht="15.75" customHeight="1">
      <c r="A13" s="1">
        <v>8.038921564E9</v>
      </c>
      <c r="B13" s="1" t="s">
        <v>42</v>
      </c>
      <c r="C13" s="1" t="s">
        <v>83</v>
      </c>
      <c r="D13" s="1">
        <v>1.0</v>
      </c>
      <c r="E13" s="1" t="s">
        <v>180</v>
      </c>
    </row>
    <row r="14" ht="15.75" customHeight="1">
      <c r="A14" s="1">
        <v>8.10743415E9</v>
      </c>
      <c r="B14" s="1" t="s">
        <v>182</v>
      </c>
      <c r="C14" s="1" t="s">
        <v>16</v>
      </c>
      <c r="D14" s="1">
        <v>2.0</v>
      </c>
      <c r="E14" s="1" t="s">
        <v>180</v>
      </c>
    </row>
    <row r="15" ht="15.75" customHeight="1">
      <c r="A15" s="1">
        <v>8.10743415E9</v>
      </c>
      <c r="B15" s="1" t="s">
        <v>182</v>
      </c>
      <c r="C15" s="1" t="s">
        <v>31</v>
      </c>
      <c r="D15" s="1">
        <v>1.0</v>
      </c>
      <c r="E15" s="1" t="s">
        <v>180</v>
      </c>
    </row>
    <row r="16" ht="15.75" customHeight="1">
      <c r="A16" s="1">
        <v>8.10743415E9</v>
      </c>
      <c r="B16" s="1" t="s">
        <v>182</v>
      </c>
      <c r="C16" s="1" t="s">
        <v>36</v>
      </c>
      <c r="D16" s="1">
        <v>1.0</v>
      </c>
      <c r="E16" s="1" t="s">
        <v>180</v>
      </c>
    </row>
    <row r="17" ht="15.75" customHeight="1">
      <c r="A17" s="1">
        <v>8.069127003E9</v>
      </c>
      <c r="B17" s="1" t="s">
        <v>187</v>
      </c>
      <c r="C17" s="1" t="s">
        <v>22</v>
      </c>
      <c r="D17" s="1">
        <v>2.0</v>
      </c>
      <c r="E17" s="1" t="s">
        <v>180</v>
      </c>
    </row>
    <row r="18" ht="15.75" customHeight="1">
      <c r="A18" s="1">
        <v>8.032379882E9</v>
      </c>
      <c r="B18" s="1" t="s">
        <v>33</v>
      </c>
      <c r="C18" s="1" t="s">
        <v>61</v>
      </c>
      <c r="D18" s="1">
        <v>1.0</v>
      </c>
      <c r="E18" s="1" t="s">
        <v>180</v>
      </c>
    </row>
    <row r="19" ht="15.75" customHeight="1">
      <c r="A19" s="1">
        <v>8.095438453E9</v>
      </c>
      <c r="B19" s="1" t="s">
        <v>42</v>
      </c>
      <c r="C19" s="1" t="s">
        <v>190</v>
      </c>
      <c r="D19" s="1">
        <v>2.0</v>
      </c>
      <c r="E19" s="1" t="s">
        <v>180</v>
      </c>
    </row>
    <row r="20" ht="15.75" customHeight="1">
      <c r="A20" s="1">
        <v>8.095438453E9</v>
      </c>
      <c r="B20" s="1" t="s">
        <v>42</v>
      </c>
      <c r="C20" s="1" t="s">
        <v>192</v>
      </c>
      <c r="D20" s="1">
        <v>2.0</v>
      </c>
      <c r="E20" s="1" t="s">
        <v>180</v>
      </c>
    </row>
    <row r="21" ht="15.75" customHeight="1">
      <c r="A21" s="1">
        <v>8.095438453E9</v>
      </c>
      <c r="B21" s="1" t="s">
        <v>42</v>
      </c>
      <c r="C21" s="1" t="s">
        <v>195</v>
      </c>
      <c r="D21" s="1">
        <v>1.0</v>
      </c>
      <c r="E21" s="1" t="s">
        <v>180</v>
      </c>
    </row>
    <row r="22" ht="15.75" customHeight="1">
      <c r="A22" s="1">
        <v>8.039315785E9</v>
      </c>
      <c r="B22" s="1" t="s">
        <v>182</v>
      </c>
      <c r="C22" s="1" t="s">
        <v>34</v>
      </c>
      <c r="D22" s="1">
        <v>1.0</v>
      </c>
      <c r="E22" s="1" t="s">
        <v>180</v>
      </c>
    </row>
    <row r="23" ht="15.75" customHeight="1">
      <c r="A23" s="1">
        <v>8.039315785E9</v>
      </c>
      <c r="B23" s="1" t="s">
        <v>182</v>
      </c>
      <c r="C23" s="1" t="s">
        <v>16</v>
      </c>
      <c r="D23" s="1">
        <v>1.0</v>
      </c>
      <c r="E23" s="1" t="s">
        <v>180</v>
      </c>
    </row>
    <row r="24" ht="15.75" customHeight="1">
      <c r="A24" s="1">
        <v>8.032280343E9</v>
      </c>
      <c r="B24" s="1" t="s">
        <v>9</v>
      </c>
      <c r="C24" s="1" t="s">
        <v>16</v>
      </c>
      <c r="D24" s="1">
        <v>1.0</v>
      </c>
      <c r="E24" s="1" t="s">
        <v>180</v>
      </c>
    </row>
    <row r="25" ht="15.75" customHeight="1">
      <c r="A25" s="1">
        <v>8.132245081E9</v>
      </c>
      <c r="B25" s="1" t="s">
        <v>33</v>
      </c>
      <c r="C25" s="1" t="s">
        <v>22</v>
      </c>
      <c r="D25" s="1">
        <v>2.0</v>
      </c>
      <c r="E25" s="1" t="s">
        <v>180</v>
      </c>
    </row>
    <row r="26" ht="15.75" customHeight="1">
      <c r="A26" s="1">
        <v>8.035846063E9</v>
      </c>
      <c r="B26" s="1" t="s">
        <v>197</v>
      </c>
      <c r="C26" s="1" t="s">
        <v>16</v>
      </c>
      <c r="D26" s="1">
        <v>3.0</v>
      </c>
      <c r="E26" s="1" t="s">
        <v>180</v>
      </c>
    </row>
    <row r="27" ht="15.75" customHeight="1">
      <c r="A27" s="1">
        <v>8.035846663E9</v>
      </c>
      <c r="B27" s="1" t="s">
        <v>197</v>
      </c>
      <c r="C27" s="1" t="s">
        <v>100</v>
      </c>
      <c r="D27" s="1">
        <v>1.0</v>
      </c>
      <c r="E27" s="1" t="s">
        <v>180</v>
      </c>
    </row>
    <row r="28" ht="15.75" customHeight="1">
      <c r="A28" s="1">
        <v>9.044303019E9</v>
      </c>
      <c r="B28" s="1" t="s">
        <v>9</v>
      </c>
      <c r="C28" s="1" t="s">
        <v>36</v>
      </c>
      <c r="D28" s="1">
        <v>1.0</v>
      </c>
      <c r="E28" s="1" t="s">
        <v>180</v>
      </c>
    </row>
    <row r="29" ht="15.75" customHeight="1">
      <c r="A29" s="1">
        <v>7.071257348E9</v>
      </c>
      <c r="B29" s="1" t="s">
        <v>47</v>
      </c>
      <c r="C29" s="1" t="s">
        <v>83</v>
      </c>
      <c r="D29" s="1">
        <v>1.0</v>
      </c>
      <c r="E29" s="1" t="s">
        <v>180</v>
      </c>
    </row>
    <row r="30" ht="15.75" customHeight="1">
      <c r="A30" s="1">
        <v>8.133720253E9</v>
      </c>
      <c r="B30" s="1" t="s">
        <v>42</v>
      </c>
      <c r="C30" s="1" t="s">
        <v>204</v>
      </c>
      <c r="D30" s="1">
        <v>2.0</v>
      </c>
      <c r="E30" s="1" t="s">
        <v>19</v>
      </c>
    </row>
    <row r="31" ht="15.75" customHeight="1">
      <c r="A31" s="1">
        <v>8.105437011E9</v>
      </c>
      <c r="B31" s="1" t="s">
        <v>8</v>
      </c>
      <c r="C31" s="1" t="s">
        <v>22</v>
      </c>
      <c r="D31" s="1">
        <v>1.0</v>
      </c>
      <c r="E31" s="1" t="s">
        <v>19</v>
      </c>
    </row>
    <row r="32" ht="15.75" customHeight="1">
      <c r="A32" s="1">
        <v>9.074430301E9</v>
      </c>
      <c r="B32" s="1" t="s">
        <v>42</v>
      </c>
      <c r="C32" s="1" t="s">
        <v>36</v>
      </c>
      <c r="D32" s="1">
        <v>1.0</v>
      </c>
      <c r="E32" s="1" t="s">
        <v>19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25.38"/>
    <col customWidth="1" hidden="1" min="3" max="3" width="25.38"/>
    <col customWidth="1" min="4" max="27" width="17.75"/>
  </cols>
  <sheetData>
    <row r="1" ht="22.5" customHeight="1">
      <c r="A1" s="7" t="s">
        <v>215</v>
      </c>
      <c r="B1" s="8" t="s">
        <v>220</v>
      </c>
      <c r="C1" s="9" t="s">
        <v>0</v>
      </c>
      <c r="D1" s="9" t="s">
        <v>229</v>
      </c>
      <c r="E1" s="8" t="s">
        <v>230</v>
      </c>
      <c r="F1" s="9" t="s">
        <v>2</v>
      </c>
      <c r="G1" s="9" t="s">
        <v>5</v>
      </c>
    </row>
    <row r="2" ht="22.5" customHeight="1">
      <c r="A2" s="15">
        <v>46185.0</v>
      </c>
      <c r="B2" s="16">
        <v>1001.0</v>
      </c>
      <c r="C2" s="20" t="s">
        <v>258</v>
      </c>
      <c r="D2" s="20" t="s">
        <v>264</v>
      </c>
      <c r="E2" s="22" t="s">
        <v>264</v>
      </c>
      <c r="F2" s="20" t="s">
        <v>22</v>
      </c>
      <c r="G2" s="22">
        <v>1.0</v>
      </c>
    </row>
    <row r="3" ht="22.5" customHeight="1">
      <c r="A3" s="15">
        <v>46185.0</v>
      </c>
      <c r="B3" s="16">
        <v>1001.0</v>
      </c>
      <c r="C3" s="20" t="s">
        <v>258</v>
      </c>
      <c r="D3" s="20" t="s">
        <v>264</v>
      </c>
      <c r="E3" s="22" t="s">
        <v>264</v>
      </c>
      <c r="F3" s="22" t="s">
        <v>158</v>
      </c>
      <c r="G3" s="22">
        <v>1.0</v>
      </c>
    </row>
    <row r="4" ht="22.5" customHeight="1">
      <c r="A4" s="15">
        <v>46185.0</v>
      </c>
      <c r="B4" s="16">
        <v>1001.0</v>
      </c>
      <c r="C4" s="20" t="s">
        <v>258</v>
      </c>
      <c r="D4" s="20" t="s">
        <v>264</v>
      </c>
      <c r="E4" s="22" t="s">
        <v>264</v>
      </c>
      <c r="F4" s="20" t="s">
        <v>58</v>
      </c>
      <c r="G4" s="22">
        <v>1.0</v>
      </c>
    </row>
    <row r="5" ht="22.5" customHeight="1">
      <c r="A5" s="15">
        <v>46185.0</v>
      </c>
      <c r="B5" s="16">
        <v>1001.0</v>
      </c>
      <c r="C5" s="20" t="s">
        <v>258</v>
      </c>
      <c r="D5" s="20" t="s">
        <v>264</v>
      </c>
      <c r="E5" s="22" t="s">
        <v>264</v>
      </c>
      <c r="F5" s="22" t="s">
        <v>231</v>
      </c>
      <c r="G5" s="22">
        <v>1.0</v>
      </c>
      <c r="J5" s="18"/>
    </row>
    <row r="6" ht="22.5" customHeight="1">
      <c r="A6" s="15">
        <v>46191.0</v>
      </c>
      <c r="B6" s="16">
        <v>1002.0</v>
      </c>
      <c r="C6" s="20" t="s">
        <v>290</v>
      </c>
      <c r="D6" s="20" t="s">
        <v>42</v>
      </c>
      <c r="E6" s="22" t="s">
        <v>216</v>
      </c>
      <c r="F6" s="20" t="s">
        <v>61</v>
      </c>
      <c r="G6" s="22">
        <v>1.0</v>
      </c>
      <c r="J6" s="18"/>
    </row>
    <row r="7" ht="22.5" customHeight="1">
      <c r="A7" s="15">
        <v>46191.0</v>
      </c>
      <c r="B7" s="16">
        <v>1003.0</v>
      </c>
      <c r="C7" s="20" t="s">
        <v>291</v>
      </c>
      <c r="D7" s="20" t="s">
        <v>92</v>
      </c>
      <c r="E7" s="22" t="s">
        <v>92</v>
      </c>
      <c r="F7" s="20" t="s">
        <v>58</v>
      </c>
      <c r="G7" s="22">
        <v>2.0</v>
      </c>
      <c r="J7" s="18"/>
    </row>
    <row r="8" ht="22.5" customHeight="1">
      <c r="A8" s="15">
        <v>46191.0</v>
      </c>
      <c r="B8" s="16">
        <v>1004.0</v>
      </c>
      <c r="C8" s="20" t="s">
        <v>296</v>
      </c>
      <c r="D8" s="20" t="s">
        <v>92</v>
      </c>
      <c r="E8" s="22" t="s">
        <v>92</v>
      </c>
      <c r="F8" s="20" t="s">
        <v>178</v>
      </c>
      <c r="G8" s="22">
        <v>1.0</v>
      </c>
      <c r="J8" s="18"/>
    </row>
    <row r="9" ht="22.5" customHeight="1">
      <c r="A9" s="15">
        <v>46191.0</v>
      </c>
      <c r="B9" s="16">
        <v>1005.0</v>
      </c>
      <c r="C9" s="20" t="s">
        <v>313</v>
      </c>
      <c r="D9" s="20" t="s">
        <v>314</v>
      </c>
      <c r="E9" s="22" t="s">
        <v>217</v>
      </c>
      <c r="F9" s="20" t="s">
        <v>22</v>
      </c>
      <c r="G9" s="22">
        <v>3.0</v>
      </c>
      <c r="J9" s="18"/>
    </row>
    <row r="10" ht="22.5" customHeight="1">
      <c r="A10" s="15">
        <v>46191.0</v>
      </c>
      <c r="B10" s="16">
        <v>1006.0</v>
      </c>
      <c r="C10" s="20" t="s">
        <v>318</v>
      </c>
      <c r="D10" s="22" t="s">
        <v>336</v>
      </c>
      <c r="E10" s="22" t="s">
        <v>25</v>
      </c>
      <c r="F10" s="22" t="s">
        <v>61</v>
      </c>
      <c r="G10" s="22">
        <v>1.0</v>
      </c>
      <c r="J10" s="18"/>
    </row>
    <row r="11" ht="22.5" customHeight="1">
      <c r="A11" s="15">
        <v>46191.0</v>
      </c>
      <c r="B11" s="16">
        <v>1006.0</v>
      </c>
      <c r="C11" s="20" t="s">
        <v>318</v>
      </c>
      <c r="D11" s="20" t="s">
        <v>336</v>
      </c>
      <c r="E11" s="22" t="s">
        <v>25</v>
      </c>
      <c r="F11" s="20" t="s">
        <v>61</v>
      </c>
      <c r="G11" s="22">
        <v>1.0</v>
      </c>
      <c r="J11" s="18"/>
    </row>
    <row r="12" ht="22.5" customHeight="1">
      <c r="A12" s="15">
        <v>46191.0</v>
      </c>
      <c r="B12" s="16">
        <v>1007.0</v>
      </c>
      <c r="C12" s="20" t="s">
        <v>319</v>
      </c>
      <c r="D12" s="20" t="s">
        <v>392</v>
      </c>
      <c r="E12" s="22" t="s">
        <v>218</v>
      </c>
      <c r="F12" s="20" t="s">
        <v>22</v>
      </c>
      <c r="G12" s="22">
        <v>1.0</v>
      </c>
      <c r="J12" s="18"/>
    </row>
    <row r="13" ht="22.5" customHeight="1">
      <c r="A13" s="15">
        <v>46192.0</v>
      </c>
      <c r="B13" s="16">
        <v>1008.0</v>
      </c>
      <c r="C13" s="20" t="s">
        <v>320</v>
      </c>
      <c r="D13" s="30" t="s">
        <v>125</v>
      </c>
      <c r="E13" s="22" t="s">
        <v>219</v>
      </c>
      <c r="F13" s="20" t="s">
        <v>185</v>
      </c>
      <c r="G13" s="22">
        <v>1.0</v>
      </c>
      <c r="J13" s="18"/>
    </row>
    <row r="14" ht="22.5" customHeight="1">
      <c r="A14" s="15">
        <v>46192.0</v>
      </c>
      <c r="B14" s="16">
        <v>1009.0</v>
      </c>
      <c r="C14" s="20" t="s">
        <v>321</v>
      </c>
      <c r="D14" s="20" t="s">
        <v>53</v>
      </c>
      <c r="E14" s="22" t="s">
        <v>53</v>
      </c>
      <c r="F14" s="22" t="s">
        <v>106</v>
      </c>
      <c r="G14" s="22">
        <v>2.0</v>
      </c>
      <c r="J14" s="18"/>
    </row>
    <row r="15" ht="22.5" customHeight="1">
      <c r="A15" s="15">
        <v>46192.0</v>
      </c>
      <c r="B15" s="16">
        <v>1010.0</v>
      </c>
      <c r="C15" s="20" t="s">
        <v>322</v>
      </c>
      <c r="D15" s="20" t="s">
        <v>436</v>
      </c>
      <c r="E15" s="22" t="s">
        <v>25</v>
      </c>
      <c r="F15" s="20" t="s">
        <v>83</v>
      </c>
      <c r="G15" s="22">
        <v>1.0</v>
      </c>
      <c r="J15" s="18"/>
    </row>
    <row r="16" ht="22.5" customHeight="1">
      <c r="A16" s="15">
        <v>46192.0</v>
      </c>
      <c r="B16" s="16">
        <v>1011.0</v>
      </c>
      <c r="C16" s="20" t="s">
        <v>323</v>
      </c>
      <c r="D16" s="20" t="s">
        <v>392</v>
      </c>
      <c r="E16" s="22" t="s">
        <v>218</v>
      </c>
      <c r="F16" s="20" t="s">
        <v>179</v>
      </c>
      <c r="G16" s="22">
        <v>1.0</v>
      </c>
      <c r="J16" s="18"/>
    </row>
    <row r="17" ht="22.5" customHeight="1">
      <c r="A17" s="15">
        <v>46192.0</v>
      </c>
      <c r="B17" s="16">
        <v>1012.0</v>
      </c>
      <c r="C17" s="20" t="s">
        <v>324</v>
      </c>
      <c r="D17" s="20" t="s">
        <v>392</v>
      </c>
      <c r="E17" s="22" t="s">
        <v>218</v>
      </c>
      <c r="F17" s="20" t="s">
        <v>57</v>
      </c>
      <c r="G17" s="22">
        <v>1.0</v>
      </c>
      <c r="J17" s="18"/>
    </row>
    <row r="18" ht="22.5" customHeight="1">
      <c r="A18" s="15">
        <v>46193.0</v>
      </c>
      <c r="B18" s="16">
        <v>1013.0</v>
      </c>
      <c r="C18" s="20" t="s">
        <v>325</v>
      </c>
      <c r="D18" s="20" t="s">
        <v>443</v>
      </c>
      <c r="E18" s="22" t="s">
        <v>25</v>
      </c>
      <c r="F18" s="20" t="s">
        <v>83</v>
      </c>
      <c r="G18" s="22">
        <v>1.0</v>
      </c>
      <c r="J18" s="18"/>
    </row>
    <row r="19" ht="22.5" customHeight="1">
      <c r="A19" s="15">
        <v>46193.0</v>
      </c>
      <c r="B19" s="16">
        <v>1014.0</v>
      </c>
      <c r="C19" s="20" t="s">
        <v>326</v>
      </c>
      <c r="D19" s="20" t="s">
        <v>300</v>
      </c>
      <c r="E19" s="22" t="s">
        <v>25</v>
      </c>
      <c r="F19" s="22" t="s">
        <v>106</v>
      </c>
      <c r="G19" s="22">
        <v>3.0</v>
      </c>
      <c r="J19" s="18"/>
    </row>
    <row r="20" ht="22.5" customHeight="1">
      <c r="A20" s="15">
        <v>46195.0</v>
      </c>
      <c r="B20" s="16">
        <v>1015.0</v>
      </c>
      <c r="C20" s="20" t="s">
        <v>327</v>
      </c>
      <c r="D20" s="20" t="s">
        <v>451</v>
      </c>
      <c r="E20" s="22" t="s">
        <v>25</v>
      </c>
      <c r="F20" s="20" t="s">
        <v>232</v>
      </c>
      <c r="G20" s="22">
        <v>3.0</v>
      </c>
      <c r="J20" s="18"/>
    </row>
    <row r="21" ht="22.5" customHeight="1">
      <c r="A21" s="15">
        <v>46195.0</v>
      </c>
      <c r="B21" s="16">
        <v>1016.0</v>
      </c>
      <c r="C21" s="20" t="s">
        <v>328</v>
      </c>
      <c r="D21" s="20" t="s">
        <v>452</v>
      </c>
      <c r="E21" s="22" t="s">
        <v>25</v>
      </c>
      <c r="F21" s="20" t="s">
        <v>58</v>
      </c>
      <c r="G21" s="22">
        <v>2.0</v>
      </c>
      <c r="J21" s="18"/>
    </row>
    <row r="22" ht="22.5" customHeight="1">
      <c r="A22" s="15">
        <v>46195.0</v>
      </c>
      <c r="B22" s="16">
        <v>1016.0</v>
      </c>
      <c r="C22" s="20" t="s">
        <v>328</v>
      </c>
      <c r="D22" s="20" t="s">
        <v>452</v>
      </c>
      <c r="E22" s="22" t="s">
        <v>25</v>
      </c>
      <c r="F22" s="20" t="s">
        <v>83</v>
      </c>
      <c r="G22" s="22">
        <v>3.0</v>
      </c>
      <c r="J22" s="18"/>
    </row>
    <row r="23" ht="22.5" customHeight="1">
      <c r="A23" s="15">
        <v>46195.0</v>
      </c>
      <c r="B23" s="16">
        <v>1016.0</v>
      </c>
      <c r="C23" s="20" t="s">
        <v>328</v>
      </c>
      <c r="D23" s="20" t="s">
        <v>452</v>
      </c>
      <c r="E23" s="22" t="s">
        <v>25</v>
      </c>
      <c r="F23" s="20" t="s">
        <v>81</v>
      </c>
      <c r="G23" s="22">
        <v>3.0</v>
      </c>
      <c r="J23" s="18"/>
    </row>
    <row r="24" ht="22.5" customHeight="1">
      <c r="A24" s="15">
        <v>46195.0</v>
      </c>
      <c r="B24" s="16">
        <v>1017.0</v>
      </c>
      <c r="C24" s="20" t="s">
        <v>329</v>
      </c>
      <c r="D24" s="20" t="s">
        <v>453</v>
      </c>
      <c r="E24" s="22" t="s">
        <v>25</v>
      </c>
      <c r="F24" s="20" t="s">
        <v>199</v>
      </c>
      <c r="G24" s="22">
        <v>1.0</v>
      </c>
      <c r="J24" s="18"/>
    </row>
    <row r="25" ht="22.5" customHeight="1">
      <c r="A25" s="15">
        <v>46196.0</v>
      </c>
      <c r="B25" s="16">
        <v>1018.0</v>
      </c>
      <c r="C25" s="20" t="s">
        <v>330</v>
      </c>
      <c r="D25" s="20" t="s">
        <v>454</v>
      </c>
      <c r="E25" s="22" t="s">
        <v>92</v>
      </c>
      <c r="F25" s="20" t="s">
        <v>22</v>
      </c>
      <c r="G25" s="22">
        <v>1.0</v>
      </c>
      <c r="J25" s="18"/>
    </row>
    <row r="26" ht="22.5" customHeight="1">
      <c r="A26" s="15">
        <v>46196.0</v>
      </c>
      <c r="B26" s="16">
        <v>1019.0</v>
      </c>
      <c r="C26" s="20" t="s">
        <v>331</v>
      </c>
      <c r="D26" s="20" t="s">
        <v>76</v>
      </c>
      <c r="E26" s="22" t="s">
        <v>221</v>
      </c>
      <c r="F26" s="20" t="s">
        <v>22</v>
      </c>
      <c r="G26" s="22">
        <v>1.0</v>
      </c>
      <c r="J26" s="18"/>
    </row>
    <row r="27" ht="22.5" customHeight="1">
      <c r="A27" s="15">
        <v>46196.0</v>
      </c>
      <c r="B27" s="16">
        <v>1020.0</v>
      </c>
      <c r="C27" s="20" t="s">
        <v>332</v>
      </c>
      <c r="D27" s="20" t="s">
        <v>457</v>
      </c>
      <c r="E27" s="22" t="s">
        <v>222</v>
      </c>
      <c r="F27" s="20" t="s">
        <v>83</v>
      </c>
      <c r="G27" s="22">
        <v>4.0</v>
      </c>
      <c r="J27" s="18"/>
    </row>
    <row r="28" ht="22.5" customHeight="1">
      <c r="A28" s="15">
        <v>46196.0</v>
      </c>
      <c r="B28" s="16">
        <v>1020.0</v>
      </c>
      <c r="C28" s="20" t="s">
        <v>332</v>
      </c>
      <c r="D28" s="20" t="s">
        <v>457</v>
      </c>
      <c r="E28" s="22" t="s">
        <v>222</v>
      </c>
      <c r="F28" s="20" t="s">
        <v>22</v>
      </c>
      <c r="G28" s="22">
        <v>2.0</v>
      </c>
      <c r="J28" s="18"/>
    </row>
    <row r="29" ht="22.5" customHeight="1">
      <c r="A29" s="15">
        <v>46196.0</v>
      </c>
      <c r="B29" s="16">
        <v>1021.0</v>
      </c>
      <c r="C29" s="20" t="s">
        <v>333</v>
      </c>
      <c r="D29" s="20" t="s">
        <v>458</v>
      </c>
      <c r="E29" s="22" t="s">
        <v>25</v>
      </c>
      <c r="F29" s="20" t="s">
        <v>22</v>
      </c>
      <c r="G29" s="22">
        <v>1.0</v>
      </c>
      <c r="J29" s="18"/>
    </row>
    <row r="30" ht="22.5" customHeight="1">
      <c r="A30" s="15">
        <v>46196.0</v>
      </c>
      <c r="B30" s="16">
        <v>1022.0</v>
      </c>
      <c r="C30" s="20" t="s">
        <v>334</v>
      </c>
      <c r="D30" s="20" t="s">
        <v>223</v>
      </c>
      <c r="E30" s="22" t="s">
        <v>223</v>
      </c>
      <c r="F30" s="22" t="s">
        <v>233</v>
      </c>
      <c r="G30" s="22">
        <v>2.0</v>
      </c>
      <c r="J30" s="18"/>
    </row>
    <row r="31" ht="22.5" customHeight="1">
      <c r="A31" s="15">
        <v>46196.0</v>
      </c>
      <c r="B31" s="16">
        <v>1023.0</v>
      </c>
      <c r="C31" s="20" t="s">
        <v>335</v>
      </c>
      <c r="D31" s="20" t="s">
        <v>459</v>
      </c>
      <c r="E31" s="22" t="s">
        <v>25</v>
      </c>
      <c r="F31" s="20" t="s">
        <v>22</v>
      </c>
      <c r="G31" s="22">
        <v>2.0</v>
      </c>
      <c r="J31" s="18"/>
    </row>
    <row r="32" ht="22.5" customHeight="1">
      <c r="A32" s="15">
        <v>46196.0</v>
      </c>
      <c r="B32" s="16">
        <v>1024.0</v>
      </c>
      <c r="C32" s="20" t="s">
        <v>337</v>
      </c>
      <c r="D32" s="20" t="s">
        <v>300</v>
      </c>
      <c r="E32" s="22" t="s">
        <v>25</v>
      </c>
      <c r="F32" s="20" t="s">
        <v>22</v>
      </c>
      <c r="G32" s="22">
        <v>3.0</v>
      </c>
      <c r="J32" s="18"/>
    </row>
    <row r="33" ht="22.5" customHeight="1">
      <c r="A33" s="15">
        <v>46196.0</v>
      </c>
      <c r="B33" s="16">
        <v>1025.0</v>
      </c>
      <c r="C33" s="20" t="s">
        <v>338</v>
      </c>
      <c r="D33" s="20" t="s">
        <v>203</v>
      </c>
      <c r="E33" s="22" t="s">
        <v>219</v>
      </c>
      <c r="F33" s="22" t="s">
        <v>231</v>
      </c>
      <c r="G33" s="22">
        <v>1.0</v>
      </c>
      <c r="J33" s="18"/>
    </row>
    <row r="34" ht="22.5" customHeight="1">
      <c r="A34" s="15">
        <v>46197.0</v>
      </c>
      <c r="B34" s="16">
        <v>1026.0</v>
      </c>
      <c r="C34" s="20" t="s">
        <v>339</v>
      </c>
      <c r="D34" s="20" t="s">
        <v>471</v>
      </c>
      <c r="E34" s="22" t="s">
        <v>224</v>
      </c>
      <c r="F34" s="22" t="s">
        <v>106</v>
      </c>
      <c r="G34" s="22">
        <v>1.0</v>
      </c>
      <c r="J34" s="18"/>
    </row>
    <row r="35" ht="22.5" customHeight="1">
      <c r="A35" s="15">
        <v>46197.0</v>
      </c>
      <c r="B35" s="16">
        <v>1026.0</v>
      </c>
      <c r="C35" s="20" t="s">
        <v>339</v>
      </c>
      <c r="D35" s="20" t="s">
        <v>471</v>
      </c>
      <c r="E35" s="22" t="s">
        <v>224</v>
      </c>
      <c r="F35" s="20" t="s">
        <v>22</v>
      </c>
      <c r="G35" s="22">
        <v>1.0</v>
      </c>
      <c r="J35" s="18"/>
    </row>
    <row r="36" ht="22.5" customHeight="1">
      <c r="A36" s="15">
        <v>46197.0</v>
      </c>
      <c r="B36" s="16">
        <v>1027.0</v>
      </c>
      <c r="C36" s="20" t="s">
        <v>340</v>
      </c>
      <c r="D36" s="20" t="s">
        <v>9</v>
      </c>
      <c r="E36" s="22" t="s">
        <v>219</v>
      </c>
      <c r="F36" s="20" t="s">
        <v>83</v>
      </c>
      <c r="G36" s="22">
        <v>2.0</v>
      </c>
      <c r="J36" s="18"/>
    </row>
    <row r="37" ht="22.5" customHeight="1">
      <c r="A37" s="15">
        <v>46197.0</v>
      </c>
      <c r="B37" s="16">
        <v>1027.0</v>
      </c>
      <c r="C37" s="20" t="s">
        <v>340</v>
      </c>
      <c r="D37" s="20" t="s">
        <v>9</v>
      </c>
      <c r="E37" s="22" t="s">
        <v>219</v>
      </c>
      <c r="F37" s="20" t="s">
        <v>58</v>
      </c>
      <c r="G37" s="22">
        <v>2.0</v>
      </c>
      <c r="J37" s="18"/>
    </row>
    <row r="38" ht="22.5" customHeight="1">
      <c r="A38" s="15">
        <v>46197.0</v>
      </c>
      <c r="B38" s="16">
        <v>1027.0</v>
      </c>
      <c r="C38" s="20" t="s">
        <v>340</v>
      </c>
      <c r="D38" s="20" t="s">
        <v>9</v>
      </c>
      <c r="E38" s="22" t="s">
        <v>219</v>
      </c>
      <c r="F38" s="20" t="s">
        <v>232</v>
      </c>
      <c r="G38" s="22">
        <v>2.0</v>
      </c>
      <c r="J38" s="18"/>
    </row>
    <row r="39" ht="22.5" customHeight="1">
      <c r="A39" s="15">
        <v>46200.0</v>
      </c>
      <c r="B39" s="16">
        <v>1028.0</v>
      </c>
      <c r="C39" s="20" t="s">
        <v>341</v>
      </c>
      <c r="D39" s="20" t="s">
        <v>42</v>
      </c>
      <c r="E39" s="22" t="s">
        <v>216</v>
      </c>
      <c r="F39" s="20" t="s">
        <v>39</v>
      </c>
      <c r="G39" s="22">
        <v>2.0</v>
      </c>
      <c r="J39" s="18"/>
    </row>
    <row r="40" ht="22.5" customHeight="1">
      <c r="A40" s="15">
        <v>46200.0</v>
      </c>
      <c r="B40" s="16">
        <v>1028.0</v>
      </c>
      <c r="C40" s="20" t="s">
        <v>341</v>
      </c>
      <c r="D40" s="20" t="s">
        <v>42</v>
      </c>
      <c r="E40" s="22" t="s">
        <v>216</v>
      </c>
      <c r="F40" s="20" t="s">
        <v>83</v>
      </c>
      <c r="G40" s="22">
        <v>1.0</v>
      </c>
      <c r="J40" s="18"/>
    </row>
    <row r="41" ht="22.5" customHeight="1">
      <c r="A41" s="15">
        <v>46200.0</v>
      </c>
      <c r="B41" s="16">
        <v>1028.0</v>
      </c>
      <c r="C41" s="20" t="s">
        <v>341</v>
      </c>
      <c r="D41" s="20" t="s">
        <v>42</v>
      </c>
      <c r="E41" s="22" t="s">
        <v>216</v>
      </c>
      <c r="F41" s="20" t="s">
        <v>36</v>
      </c>
      <c r="G41" s="22">
        <v>1.0</v>
      </c>
      <c r="J41" s="18"/>
    </row>
    <row r="42" ht="22.5" customHeight="1">
      <c r="A42" s="15">
        <v>46200.0</v>
      </c>
      <c r="B42" s="16">
        <v>1029.0</v>
      </c>
      <c r="C42" s="20" t="s">
        <v>342</v>
      </c>
      <c r="D42" s="20" t="s">
        <v>42</v>
      </c>
      <c r="E42" s="22" t="s">
        <v>216</v>
      </c>
      <c r="F42" s="20" t="s">
        <v>83</v>
      </c>
      <c r="G42" s="22">
        <v>1.0</v>
      </c>
      <c r="J42" s="18"/>
    </row>
    <row r="43" ht="22.5" customHeight="1">
      <c r="A43" s="15">
        <v>46200.0</v>
      </c>
      <c r="B43" s="16">
        <v>1030.0</v>
      </c>
      <c r="C43" s="20" t="s">
        <v>343</v>
      </c>
      <c r="D43" s="20" t="s">
        <v>53</v>
      </c>
      <c r="E43" s="22" t="s">
        <v>53</v>
      </c>
      <c r="F43" s="22" t="s">
        <v>231</v>
      </c>
      <c r="G43" s="22">
        <v>4.0</v>
      </c>
      <c r="J43" s="18"/>
    </row>
    <row r="44" ht="22.5" customHeight="1">
      <c r="A44" s="15">
        <v>46201.0</v>
      </c>
      <c r="B44" s="16">
        <v>1031.0</v>
      </c>
      <c r="C44" s="20" t="s">
        <v>344</v>
      </c>
      <c r="D44" s="20" t="s">
        <v>473</v>
      </c>
      <c r="E44" s="22" t="s">
        <v>25</v>
      </c>
      <c r="F44" s="20" t="s">
        <v>83</v>
      </c>
      <c r="G44" s="22">
        <v>1.0</v>
      </c>
      <c r="J44" s="18"/>
    </row>
    <row r="45" ht="22.5" customHeight="1">
      <c r="A45" s="15">
        <v>46202.0</v>
      </c>
      <c r="B45" s="16">
        <v>1032.0</v>
      </c>
      <c r="C45" s="20" t="s">
        <v>345</v>
      </c>
      <c r="D45" s="20" t="s">
        <v>300</v>
      </c>
      <c r="E45" s="22" t="s">
        <v>25</v>
      </c>
      <c r="F45" s="20" t="s">
        <v>232</v>
      </c>
      <c r="G45" s="22">
        <v>2.0</v>
      </c>
      <c r="J45" s="18"/>
    </row>
    <row r="46" ht="22.5" customHeight="1">
      <c r="A46" s="15">
        <v>46202.0</v>
      </c>
      <c r="B46" s="16">
        <v>1032.0</v>
      </c>
      <c r="C46" s="20" t="s">
        <v>345</v>
      </c>
      <c r="D46" s="20" t="s">
        <v>300</v>
      </c>
      <c r="E46" s="22" t="s">
        <v>25</v>
      </c>
      <c r="F46" s="20" t="s">
        <v>58</v>
      </c>
      <c r="G46" s="22">
        <v>2.0</v>
      </c>
      <c r="J46" s="18"/>
    </row>
    <row r="47" ht="22.5" customHeight="1">
      <c r="A47" s="15">
        <v>46202.0</v>
      </c>
      <c r="B47" s="16">
        <v>1032.0</v>
      </c>
      <c r="C47" s="20" t="s">
        <v>345</v>
      </c>
      <c r="D47" s="20" t="s">
        <v>300</v>
      </c>
      <c r="E47" s="22" t="s">
        <v>25</v>
      </c>
      <c r="F47" s="22" t="s">
        <v>61</v>
      </c>
      <c r="G47" s="22">
        <v>2.0</v>
      </c>
      <c r="J47" s="18"/>
    </row>
    <row r="48" ht="22.5" customHeight="1">
      <c r="A48" s="15">
        <v>46202.0</v>
      </c>
      <c r="B48" s="16">
        <v>1007.0</v>
      </c>
      <c r="C48" s="20" t="s">
        <v>319</v>
      </c>
      <c r="D48" s="20" t="s">
        <v>392</v>
      </c>
      <c r="E48" s="22" t="s">
        <v>218</v>
      </c>
      <c r="F48" s="20" t="s">
        <v>81</v>
      </c>
      <c r="G48" s="22">
        <v>1.0</v>
      </c>
      <c r="J48" s="18"/>
    </row>
    <row r="49" ht="22.5" customHeight="1">
      <c r="A49" s="15">
        <v>46202.0</v>
      </c>
      <c r="B49" s="16">
        <v>1007.0</v>
      </c>
      <c r="C49" s="20" t="s">
        <v>319</v>
      </c>
      <c r="D49" s="20" t="s">
        <v>392</v>
      </c>
      <c r="E49" s="22" t="s">
        <v>218</v>
      </c>
      <c r="F49" s="20" t="s">
        <v>58</v>
      </c>
      <c r="G49" s="22">
        <v>1.0</v>
      </c>
      <c r="J49" s="18"/>
    </row>
    <row r="50" ht="22.5" customHeight="1">
      <c r="A50" s="15">
        <v>46202.0</v>
      </c>
      <c r="B50" s="16">
        <v>1007.0</v>
      </c>
      <c r="C50" s="20" t="s">
        <v>319</v>
      </c>
      <c r="D50" s="20" t="s">
        <v>392</v>
      </c>
      <c r="E50" s="22" t="s">
        <v>218</v>
      </c>
      <c r="F50" s="20" t="s">
        <v>57</v>
      </c>
      <c r="G50" s="22">
        <v>1.0</v>
      </c>
      <c r="J50" s="18"/>
    </row>
    <row r="51" ht="22.5" customHeight="1">
      <c r="A51" s="15">
        <v>46202.0</v>
      </c>
      <c r="B51" s="16">
        <v>1007.0</v>
      </c>
      <c r="C51" s="20" t="s">
        <v>319</v>
      </c>
      <c r="D51" s="20" t="s">
        <v>392</v>
      </c>
      <c r="E51" s="22" t="s">
        <v>218</v>
      </c>
      <c r="F51" s="20" t="s">
        <v>22</v>
      </c>
      <c r="G51" s="22">
        <v>1.0</v>
      </c>
      <c r="J51" s="18"/>
    </row>
    <row r="52" ht="22.5" customHeight="1">
      <c r="A52" s="15">
        <v>46202.0</v>
      </c>
      <c r="B52" s="16">
        <v>1007.0</v>
      </c>
      <c r="C52" s="20" t="s">
        <v>319</v>
      </c>
      <c r="D52" s="20" t="s">
        <v>392</v>
      </c>
      <c r="E52" s="22" t="s">
        <v>218</v>
      </c>
      <c r="F52" s="20" t="s">
        <v>234</v>
      </c>
      <c r="G52" s="22">
        <v>1.0</v>
      </c>
      <c r="J52" s="18"/>
    </row>
    <row r="53" ht="22.5" customHeight="1">
      <c r="A53" s="15">
        <v>46203.0</v>
      </c>
      <c r="B53" s="16">
        <v>1033.0</v>
      </c>
      <c r="C53" s="20" t="s">
        <v>346</v>
      </c>
      <c r="D53" s="20" t="s">
        <v>42</v>
      </c>
      <c r="E53" s="22" t="s">
        <v>216</v>
      </c>
      <c r="F53" s="22" t="s">
        <v>106</v>
      </c>
      <c r="G53" s="22">
        <v>1.0</v>
      </c>
      <c r="J53" s="18"/>
    </row>
    <row r="54" ht="22.5" customHeight="1">
      <c r="A54" s="15">
        <v>46203.0</v>
      </c>
      <c r="B54" s="16">
        <v>1033.0</v>
      </c>
      <c r="C54" s="20" t="s">
        <v>346</v>
      </c>
      <c r="D54" s="20" t="s">
        <v>42</v>
      </c>
      <c r="E54" s="22" t="s">
        <v>216</v>
      </c>
      <c r="F54" s="20" t="s">
        <v>36</v>
      </c>
      <c r="G54" s="22">
        <v>1.0</v>
      </c>
      <c r="J54" s="18"/>
    </row>
    <row r="55" ht="22.5" customHeight="1">
      <c r="A55" s="15">
        <v>46203.0</v>
      </c>
      <c r="B55" s="16">
        <v>1033.0</v>
      </c>
      <c r="C55" s="20" t="s">
        <v>346</v>
      </c>
      <c r="D55" s="20" t="s">
        <v>42</v>
      </c>
      <c r="E55" s="22" t="s">
        <v>216</v>
      </c>
      <c r="F55" s="20" t="s">
        <v>22</v>
      </c>
      <c r="G55" s="22">
        <v>1.0</v>
      </c>
      <c r="J55" s="18"/>
    </row>
    <row r="56" ht="22.5" customHeight="1">
      <c r="A56" s="15">
        <v>46203.0</v>
      </c>
      <c r="B56" s="16">
        <v>1034.0</v>
      </c>
      <c r="C56" s="20" t="s">
        <v>347</v>
      </c>
      <c r="D56" s="30" t="s">
        <v>125</v>
      </c>
      <c r="E56" s="22" t="s">
        <v>219</v>
      </c>
      <c r="F56" s="20" t="s">
        <v>179</v>
      </c>
      <c r="G56" s="22">
        <v>2.0</v>
      </c>
      <c r="J56" s="18"/>
    </row>
    <row r="57" ht="22.5" customHeight="1">
      <c r="A57" s="15">
        <v>46203.0</v>
      </c>
      <c r="B57" s="16">
        <v>1034.0</v>
      </c>
      <c r="C57" s="20" t="s">
        <v>347</v>
      </c>
      <c r="D57" s="20" t="s">
        <v>219</v>
      </c>
      <c r="E57" s="22" t="s">
        <v>219</v>
      </c>
      <c r="F57" s="20" t="s">
        <v>83</v>
      </c>
      <c r="G57" s="22">
        <v>2.0</v>
      </c>
      <c r="J57" s="18"/>
    </row>
    <row r="58" ht="22.5" customHeight="1">
      <c r="A58" s="15">
        <v>46204.0</v>
      </c>
      <c r="B58" s="16">
        <v>1035.0</v>
      </c>
      <c r="C58" s="20" t="s">
        <v>348</v>
      </c>
      <c r="D58" s="20" t="s">
        <v>42</v>
      </c>
      <c r="E58" s="22" t="s">
        <v>216</v>
      </c>
      <c r="F58" s="20" t="s">
        <v>81</v>
      </c>
      <c r="G58" s="22">
        <v>1.0</v>
      </c>
      <c r="J58" s="18"/>
    </row>
    <row r="59" ht="22.5" customHeight="1">
      <c r="A59" s="15">
        <v>46204.0</v>
      </c>
      <c r="B59" s="16">
        <v>1036.0</v>
      </c>
      <c r="C59" s="20" t="s">
        <v>349</v>
      </c>
      <c r="D59" s="20" t="s">
        <v>8</v>
      </c>
      <c r="E59" s="22" t="s">
        <v>8</v>
      </c>
      <c r="F59" s="20" t="s">
        <v>22</v>
      </c>
      <c r="G59" s="22">
        <v>1.0</v>
      </c>
      <c r="J59" s="18"/>
    </row>
    <row r="60" ht="22.5" customHeight="1">
      <c r="A60" s="15">
        <v>46204.0</v>
      </c>
      <c r="B60" s="16">
        <v>1036.0</v>
      </c>
      <c r="C60" s="20" t="s">
        <v>349</v>
      </c>
      <c r="D60" s="20" t="s">
        <v>8</v>
      </c>
      <c r="E60" s="22" t="s">
        <v>8</v>
      </c>
      <c r="F60" s="20" t="s">
        <v>81</v>
      </c>
      <c r="G60" s="22">
        <v>1.0</v>
      </c>
      <c r="J60" s="18"/>
    </row>
    <row r="61" ht="22.5" customHeight="1">
      <c r="A61" s="15">
        <v>46204.0</v>
      </c>
      <c r="B61" s="16">
        <v>1037.0</v>
      </c>
      <c r="C61" s="20" t="s">
        <v>350</v>
      </c>
      <c r="D61" s="20" t="s">
        <v>9</v>
      </c>
      <c r="E61" s="22" t="s">
        <v>219</v>
      </c>
      <c r="F61" s="20" t="s">
        <v>22</v>
      </c>
      <c r="G61" s="22">
        <v>1.0</v>
      </c>
      <c r="J61" s="18"/>
    </row>
    <row r="62" ht="22.5" customHeight="1">
      <c r="A62" s="15">
        <v>46204.0</v>
      </c>
      <c r="B62" s="16">
        <v>1037.0</v>
      </c>
      <c r="C62" s="20" t="s">
        <v>350</v>
      </c>
      <c r="D62" s="20" t="s">
        <v>9</v>
      </c>
      <c r="E62" s="22" t="s">
        <v>219</v>
      </c>
      <c r="F62" s="20" t="s">
        <v>83</v>
      </c>
      <c r="G62" s="22">
        <v>1.0</v>
      </c>
      <c r="J62" s="18"/>
    </row>
    <row r="63" ht="22.5" customHeight="1">
      <c r="A63" s="15">
        <v>46205.0</v>
      </c>
      <c r="B63" s="16">
        <v>1038.0</v>
      </c>
      <c r="C63" s="20" t="s">
        <v>351</v>
      </c>
      <c r="D63" s="20" t="s">
        <v>474</v>
      </c>
      <c r="E63" s="22" t="s">
        <v>25</v>
      </c>
      <c r="F63" s="20" t="s">
        <v>22</v>
      </c>
      <c r="G63" s="22">
        <v>1.0</v>
      </c>
      <c r="J63" s="18"/>
    </row>
    <row r="64" ht="22.5" customHeight="1">
      <c r="A64" s="15">
        <v>46205.0</v>
      </c>
      <c r="B64" s="16">
        <v>1039.0</v>
      </c>
      <c r="C64" s="20" t="s">
        <v>352</v>
      </c>
      <c r="D64" s="20" t="s">
        <v>300</v>
      </c>
      <c r="E64" s="22" t="s">
        <v>25</v>
      </c>
      <c r="F64" s="22" t="s">
        <v>106</v>
      </c>
      <c r="G64" s="22">
        <v>1.0</v>
      </c>
      <c r="J64" s="18"/>
    </row>
    <row r="65" ht="22.5" customHeight="1">
      <c r="A65" s="15">
        <v>46205.0</v>
      </c>
      <c r="B65" s="16">
        <v>1039.0</v>
      </c>
      <c r="C65" s="20" t="s">
        <v>352</v>
      </c>
      <c r="D65" s="20" t="s">
        <v>300</v>
      </c>
      <c r="E65" s="22" t="s">
        <v>25</v>
      </c>
      <c r="F65" s="20" t="s">
        <v>22</v>
      </c>
      <c r="G65" s="22">
        <v>1.0</v>
      </c>
      <c r="J65" s="18"/>
    </row>
    <row r="66" ht="22.5" customHeight="1">
      <c r="A66" s="15">
        <v>46205.0</v>
      </c>
      <c r="B66" s="16">
        <v>1040.0</v>
      </c>
      <c r="C66" s="20" t="s">
        <v>353</v>
      </c>
      <c r="D66" s="20" t="s">
        <v>9</v>
      </c>
      <c r="E66" s="22" t="s">
        <v>219</v>
      </c>
      <c r="F66" s="20" t="s">
        <v>179</v>
      </c>
      <c r="G66" s="22">
        <v>1.0</v>
      </c>
    </row>
    <row r="67" ht="22.5" customHeight="1">
      <c r="A67" s="15">
        <v>46206.0</v>
      </c>
      <c r="B67" s="16">
        <v>1041.0</v>
      </c>
      <c r="C67" s="20" t="s">
        <v>354</v>
      </c>
      <c r="D67" s="20" t="s">
        <v>475</v>
      </c>
      <c r="E67" s="22" t="s">
        <v>219</v>
      </c>
      <c r="F67" s="22" t="s">
        <v>233</v>
      </c>
      <c r="G67" s="22">
        <v>3.0</v>
      </c>
    </row>
    <row r="68" ht="22.5" customHeight="1">
      <c r="A68" s="15">
        <v>46206.0</v>
      </c>
      <c r="B68" s="36">
        <v>1128.0</v>
      </c>
      <c r="C68" s="20" t="s">
        <v>355</v>
      </c>
      <c r="D68" s="20" t="s">
        <v>8</v>
      </c>
      <c r="E68" s="22" t="s">
        <v>8</v>
      </c>
      <c r="F68" s="22" t="s">
        <v>235</v>
      </c>
      <c r="G68" s="22">
        <v>1.0</v>
      </c>
    </row>
    <row r="69" ht="22.5" customHeight="1">
      <c r="A69" s="15">
        <v>46206.0</v>
      </c>
      <c r="B69" s="36">
        <v>1129.0</v>
      </c>
      <c r="C69" s="20" t="s">
        <v>356</v>
      </c>
      <c r="D69" s="20" t="s">
        <v>476</v>
      </c>
      <c r="E69" s="22" t="s">
        <v>225</v>
      </c>
      <c r="F69" s="20" t="s">
        <v>81</v>
      </c>
      <c r="G69" s="22">
        <v>4.0</v>
      </c>
    </row>
    <row r="70" ht="22.5" customHeight="1">
      <c r="A70" s="15">
        <v>46206.0</v>
      </c>
      <c r="B70" s="36">
        <v>1130.0</v>
      </c>
      <c r="C70" s="20" t="s">
        <v>29</v>
      </c>
      <c r="D70" s="20" t="s">
        <v>476</v>
      </c>
      <c r="E70" s="22" t="s">
        <v>225</v>
      </c>
      <c r="F70" s="20" t="s">
        <v>22</v>
      </c>
      <c r="G70" s="22">
        <v>4.0</v>
      </c>
    </row>
    <row r="71" ht="22.5" customHeight="1">
      <c r="A71" s="15">
        <v>46206.0</v>
      </c>
      <c r="B71" s="36">
        <v>1130.0</v>
      </c>
      <c r="C71" s="20" t="s">
        <v>29</v>
      </c>
      <c r="D71" s="20" t="s">
        <v>476</v>
      </c>
      <c r="E71" s="22" t="s">
        <v>225</v>
      </c>
      <c r="F71" s="20" t="s">
        <v>36</v>
      </c>
      <c r="G71" s="22">
        <v>1.0</v>
      </c>
    </row>
    <row r="72" ht="22.5" customHeight="1">
      <c r="A72" s="15">
        <v>46209.0</v>
      </c>
      <c r="B72" s="36">
        <v>1131.0</v>
      </c>
      <c r="C72" s="20" t="s">
        <v>357</v>
      </c>
      <c r="D72" s="20" t="s">
        <v>42</v>
      </c>
      <c r="E72" s="22" t="s">
        <v>216</v>
      </c>
      <c r="F72" s="20" t="s">
        <v>83</v>
      </c>
      <c r="G72" s="22">
        <v>1.0</v>
      </c>
    </row>
    <row r="73" ht="22.5" customHeight="1">
      <c r="A73" s="15">
        <v>46209.0</v>
      </c>
      <c r="B73" s="36">
        <v>1132.0</v>
      </c>
      <c r="C73" s="20" t="s">
        <v>358</v>
      </c>
      <c r="D73" s="20" t="s">
        <v>42</v>
      </c>
      <c r="E73" s="22" t="s">
        <v>216</v>
      </c>
      <c r="F73" s="20" t="s">
        <v>22</v>
      </c>
      <c r="G73" s="22">
        <v>1.0</v>
      </c>
    </row>
    <row r="74" ht="22.5" customHeight="1">
      <c r="A74" s="15">
        <v>46209.0</v>
      </c>
      <c r="B74" s="36">
        <v>1133.0</v>
      </c>
      <c r="C74" s="20"/>
      <c r="D74" s="20" t="s">
        <v>76</v>
      </c>
      <c r="E74" s="22" t="s">
        <v>221</v>
      </c>
      <c r="F74" s="20" t="s">
        <v>58</v>
      </c>
      <c r="G74" s="22">
        <v>1.0</v>
      </c>
    </row>
    <row r="75" ht="22.5" customHeight="1">
      <c r="A75" s="15">
        <v>46209.0</v>
      </c>
      <c r="B75" s="36">
        <v>1133.0</v>
      </c>
      <c r="C75" s="20"/>
      <c r="D75" s="20" t="s">
        <v>76</v>
      </c>
      <c r="E75" s="22" t="s">
        <v>221</v>
      </c>
      <c r="F75" s="20" t="s">
        <v>232</v>
      </c>
      <c r="G75" s="22">
        <v>2.0</v>
      </c>
    </row>
    <row r="76" ht="22.5" customHeight="1">
      <c r="A76" s="15">
        <v>46209.0</v>
      </c>
      <c r="B76" s="16">
        <v>1042.0</v>
      </c>
      <c r="C76" s="20" t="s">
        <v>359</v>
      </c>
      <c r="D76" s="20" t="s">
        <v>8</v>
      </c>
      <c r="E76" s="22" t="s">
        <v>8</v>
      </c>
      <c r="F76" s="22" t="s">
        <v>234</v>
      </c>
      <c r="G76" s="22">
        <v>1.0</v>
      </c>
    </row>
    <row r="77" ht="22.5" customHeight="1">
      <c r="A77" s="15">
        <v>46209.0</v>
      </c>
      <c r="B77" s="16">
        <v>1043.0</v>
      </c>
      <c r="C77" s="20" t="s">
        <v>360</v>
      </c>
      <c r="D77" s="20" t="s">
        <v>8</v>
      </c>
      <c r="E77" s="22" t="s">
        <v>8</v>
      </c>
      <c r="F77" s="20" t="s">
        <v>58</v>
      </c>
      <c r="G77" s="22">
        <v>1.0</v>
      </c>
    </row>
    <row r="78" ht="22.5" customHeight="1">
      <c r="A78" s="15">
        <v>46209.0</v>
      </c>
      <c r="B78" s="36">
        <v>1134.0</v>
      </c>
      <c r="C78" s="20"/>
      <c r="D78" s="20" t="s">
        <v>8</v>
      </c>
      <c r="E78" s="22" t="s">
        <v>8</v>
      </c>
      <c r="F78" s="22" t="s">
        <v>61</v>
      </c>
      <c r="G78" s="22">
        <v>1.0</v>
      </c>
    </row>
    <row r="79" ht="22.5" customHeight="1">
      <c r="A79" s="15">
        <v>46209.0</v>
      </c>
      <c r="B79" s="36">
        <v>1134.0</v>
      </c>
      <c r="C79" s="20"/>
      <c r="D79" s="20" t="s">
        <v>8</v>
      </c>
      <c r="E79" s="22" t="s">
        <v>8</v>
      </c>
      <c r="F79" s="20" t="s">
        <v>185</v>
      </c>
      <c r="G79" s="22">
        <v>1.0</v>
      </c>
    </row>
    <row r="80" ht="22.5" customHeight="1">
      <c r="A80" s="15">
        <v>46209.0</v>
      </c>
      <c r="B80" s="36">
        <v>1134.0</v>
      </c>
      <c r="C80" s="20"/>
      <c r="D80" s="20" t="s">
        <v>8</v>
      </c>
      <c r="E80" s="22" t="s">
        <v>8</v>
      </c>
      <c r="F80" s="20" t="s">
        <v>81</v>
      </c>
      <c r="G80" s="22">
        <v>1.0</v>
      </c>
    </row>
    <row r="81" ht="22.5" customHeight="1">
      <c r="A81" s="15">
        <v>46209.0</v>
      </c>
      <c r="B81" s="16">
        <v>1044.0</v>
      </c>
      <c r="C81" s="20" t="s">
        <v>361</v>
      </c>
      <c r="D81" s="20" t="s">
        <v>47</v>
      </c>
      <c r="E81" s="22" t="s">
        <v>216</v>
      </c>
      <c r="F81" s="20" t="s">
        <v>58</v>
      </c>
      <c r="G81" s="22">
        <v>2.0</v>
      </c>
    </row>
    <row r="82" ht="22.5" customHeight="1">
      <c r="A82" s="15">
        <v>46209.0</v>
      </c>
      <c r="B82" s="16">
        <v>1044.0</v>
      </c>
      <c r="C82" s="20" t="s">
        <v>361</v>
      </c>
      <c r="D82" s="20" t="s">
        <v>47</v>
      </c>
      <c r="E82" s="22" t="s">
        <v>216</v>
      </c>
      <c r="F82" s="20" t="s">
        <v>22</v>
      </c>
      <c r="G82" s="22">
        <v>2.0</v>
      </c>
    </row>
    <row r="83" ht="22.5" customHeight="1">
      <c r="A83" s="15">
        <v>46210.0</v>
      </c>
      <c r="B83" s="36">
        <v>1135.0</v>
      </c>
      <c r="C83" s="20"/>
      <c r="D83" s="30" t="s">
        <v>477</v>
      </c>
      <c r="E83" s="22" t="s">
        <v>226</v>
      </c>
      <c r="F83" s="20" t="s">
        <v>22</v>
      </c>
      <c r="G83" s="22">
        <v>1.0</v>
      </c>
    </row>
    <row r="84" ht="22.5" customHeight="1">
      <c r="A84" s="15">
        <v>46210.0</v>
      </c>
      <c r="B84" s="16">
        <v>1045.0</v>
      </c>
      <c r="C84" s="20" t="s">
        <v>362</v>
      </c>
      <c r="D84" s="20" t="s">
        <v>42</v>
      </c>
      <c r="E84" s="22" t="s">
        <v>216</v>
      </c>
      <c r="F84" s="22" t="s">
        <v>106</v>
      </c>
      <c r="G84" s="22">
        <v>2.0</v>
      </c>
    </row>
    <row r="85" ht="22.5" customHeight="1">
      <c r="A85" s="15">
        <v>46210.0</v>
      </c>
      <c r="B85" s="36">
        <v>1136.0</v>
      </c>
      <c r="C85" s="20" t="s">
        <v>355</v>
      </c>
      <c r="D85" s="20" t="s">
        <v>42</v>
      </c>
      <c r="E85" s="22" t="s">
        <v>216</v>
      </c>
      <c r="F85" s="22" t="s">
        <v>233</v>
      </c>
      <c r="G85" s="22">
        <v>1.0</v>
      </c>
    </row>
    <row r="86" ht="22.5" customHeight="1">
      <c r="A86" s="15">
        <v>46210.0</v>
      </c>
      <c r="B86" s="36">
        <v>1136.0</v>
      </c>
      <c r="C86" s="20" t="s">
        <v>355</v>
      </c>
      <c r="D86" s="20" t="s">
        <v>42</v>
      </c>
      <c r="E86" s="22" t="s">
        <v>216</v>
      </c>
      <c r="F86" s="20" t="s">
        <v>236</v>
      </c>
      <c r="G86" s="22">
        <v>1.0</v>
      </c>
    </row>
    <row r="87" ht="22.5" customHeight="1">
      <c r="A87" s="15">
        <v>46210.0</v>
      </c>
      <c r="B87" s="16">
        <v>1046.0</v>
      </c>
      <c r="C87" s="20" t="s">
        <v>363</v>
      </c>
      <c r="D87" s="20" t="s">
        <v>92</v>
      </c>
      <c r="E87" s="22" t="s">
        <v>92</v>
      </c>
      <c r="F87" s="22" t="s">
        <v>106</v>
      </c>
      <c r="G87" s="22">
        <v>1.0</v>
      </c>
    </row>
    <row r="88" ht="22.5" customHeight="1">
      <c r="A88" s="15">
        <v>46210.0</v>
      </c>
      <c r="B88" s="16">
        <v>1047.0</v>
      </c>
      <c r="C88" s="20" t="s">
        <v>224</v>
      </c>
      <c r="D88" s="20" t="s">
        <v>76</v>
      </c>
      <c r="E88" s="22" t="s">
        <v>221</v>
      </c>
      <c r="F88" s="20" t="s">
        <v>22</v>
      </c>
      <c r="G88" s="22">
        <v>1.0</v>
      </c>
    </row>
    <row r="89" ht="22.5" customHeight="1">
      <c r="A89" s="15">
        <v>46210.0</v>
      </c>
      <c r="B89" s="16">
        <v>1048.0</v>
      </c>
      <c r="C89" s="20" t="s">
        <v>364</v>
      </c>
      <c r="D89" s="20" t="s">
        <v>8</v>
      </c>
      <c r="E89" s="22" t="s">
        <v>8</v>
      </c>
      <c r="F89" s="20" t="s">
        <v>232</v>
      </c>
      <c r="G89" s="22">
        <v>1.0</v>
      </c>
    </row>
    <row r="90" ht="22.5" customHeight="1">
      <c r="A90" s="15">
        <v>46210.0</v>
      </c>
      <c r="B90" s="16">
        <v>1049.0</v>
      </c>
      <c r="C90" s="20" t="s">
        <v>365</v>
      </c>
      <c r="D90" s="20" t="s">
        <v>25</v>
      </c>
      <c r="E90" s="22" t="s">
        <v>25</v>
      </c>
      <c r="F90" s="20" t="s">
        <v>36</v>
      </c>
      <c r="G90" s="22">
        <v>1.0</v>
      </c>
    </row>
    <row r="91" ht="22.5" customHeight="1">
      <c r="A91" s="15">
        <v>46210.0</v>
      </c>
      <c r="B91" s="16">
        <v>1050.0</v>
      </c>
      <c r="C91" s="20" t="s">
        <v>366</v>
      </c>
      <c r="D91" s="20" t="s">
        <v>392</v>
      </c>
      <c r="E91" s="22" t="s">
        <v>218</v>
      </c>
      <c r="F91" s="20" t="s">
        <v>57</v>
      </c>
      <c r="G91" s="22">
        <v>1.0</v>
      </c>
    </row>
    <row r="92" ht="22.5" customHeight="1">
      <c r="A92" s="15">
        <v>46211.0</v>
      </c>
      <c r="B92" s="16">
        <v>1051.0</v>
      </c>
      <c r="C92" s="20" t="s">
        <v>367</v>
      </c>
      <c r="D92" s="20" t="s">
        <v>42</v>
      </c>
      <c r="E92" s="22" t="s">
        <v>216</v>
      </c>
      <c r="F92" s="20" t="s">
        <v>237</v>
      </c>
      <c r="G92" s="22">
        <v>1.0</v>
      </c>
    </row>
    <row r="93" ht="22.5" customHeight="1">
      <c r="A93" s="15">
        <v>46211.0</v>
      </c>
      <c r="B93" s="16">
        <v>1052.0</v>
      </c>
      <c r="C93" s="20" t="s">
        <v>368</v>
      </c>
      <c r="D93" s="20" t="s">
        <v>125</v>
      </c>
      <c r="E93" s="22" t="s">
        <v>219</v>
      </c>
      <c r="F93" s="20" t="s">
        <v>237</v>
      </c>
      <c r="G93" s="22">
        <v>1.0</v>
      </c>
    </row>
    <row r="94" ht="22.5" customHeight="1">
      <c r="A94" s="15">
        <v>46211.0</v>
      </c>
      <c r="B94" s="16">
        <v>1053.0</v>
      </c>
      <c r="C94" s="20" t="s">
        <v>369</v>
      </c>
      <c r="D94" s="20" t="s">
        <v>392</v>
      </c>
      <c r="E94" s="22" t="s">
        <v>218</v>
      </c>
      <c r="F94" s="22" t="s">
        <v>106</v>
      </c>
      <c r="G94" s="22">
        <v>1.0</v>
      </c>
    </row>
    <row r="95" ht="22.5" customHeight="1">
      <c r="A95" s="15">
        <v>46211.0</v>
      </c>
      <c r="B95" s="16">
        <v>1054.0</v>
      </c>
      <c r="C95" s="20" t="s">
        <v>370</v>
      </c>
      <c r="D95" s="20" t="s">
        <v>392</v>
      </c>
      <c r="E95" s="22" t="s">
        <v>218</v>
      </c>
      <c r="F95" s="22" t="s">
        <v>231</v>
      </c>
      <c r="G95" s="22">
        <v>3.0</v>
      </c>
    </row>
    <row r="96" ht="22.5" customHeight="1">
      <c r="A96" s="15">
        <v>46211.0</v>
      </c>
      <c r="B96" s="16">
        <v>1054.0</v>
      </c>
      <c r="C96" s="20" t="s">
        <v>370</v>
      </c>
      <c r="D96" s="20" t="s">
        <v>392</v>
      </c>
      <c r="E96" s="22" t="s">
        <v>218</v>
      </c>
      <c r="F96" s="20" t="s">
        <v>83</v>
      </c>
      <c r="G96" s="22">
        <v>2.0</v>
      </c>
    </row>
    <row r="97" ht="22.5" customHeight="1">
      <c r="A97" s="15">
        <v>46212.0</v>
      </c>
      <c r="B97" s="16">
        <v>1055.0</v>
      </c>
      <c r="C97" s="20" t="s">
        <v>371</v>
      </c>
      <c r="D97" s="20" t="s">
        <v>25</v>
      </c>
      <c r="E97" s="22" t="s">
        <v>25</v>
      </c>
      <c r="F97" s="20" t="s">
        <v>83</v>
      </c>
      <c r="G97" s="22">
        <v>1.0</v>
      </c>
    </row>
    <row r="98" ht="22.5" customHeight="1">
      <c r="A98" s="15">
        <v>46212.0</v>
      </c>
      <c r="B98" s="16">
        <v>1056.0</v>
      </c>
      <c r="C98" s="20" t="s">
        <v>372</v>
      </c>
      <c r="D98" s="20" t="s">
        <v>25</v>
      </c>
      <c r="E98" s="22" t="s">
        <v>25</v>
      </c>
      <c r="F98" s="20" t="s">
        <v>170</v>
      </c>
      <c r="G98" s="22">
        <v>1.0</v>
      </c>
    </row>
    <row r="99" ht="22.5" customHeight="1">
      <c r="A99" s="15">
        <v>46212.0</v>
      </c>
      <c r="B99" s="16">
        <v>1057.0</v>
      </c>
      <c r="C99" s="20" t="s">
        <v>373</v>
      </c>
      <c r="D99" s="20" t="s">
        <v>47</v>
      </c>
      <c r="E99" s="22" t="s">
        <v>216</v>
      </c>
      <c r="F99" s="20" t="s">
        <v>22</v>
      </c>
      <c r="G99" s="22">
        <v>2.0</v>
      </c>
    </row>
    <row r="100" ht="22.5" customHeight="1">
      <c r="A100" s="15">
        <v>46212.0</v>
      </c>
      <c r="B100" s="16">
        <v>1057.0</v>
      </c>
      <c r="C100" s="20" t="s">
        <v>373</v>
      </c>
      <c r="D100" s="20" t="s">
        <v>47</v>
      </c>
      <c r="E100" s="22" t="s">
        <v>216</v>
      </c>
      <c r="F100" s="22" t="s">
        <v>61</v>
      </c>
      <c r="G100" s="22">
        <v>2.0</v>
      </c>
    </row>
    <row r="101" ht="22.5" customHeight="1">
      <c r="A101" s="15">
        <v>46212.0</v>
      </c>
      <c r="B101" s="16">
        <v>1057.0</v>
      </c>
      <c r="C101" s="20" t="s">
        <v>373</v>
      </c>
      <c r="D101" s="20" t="s">
        <v>47</v>
      </c>
      <c r="E101" s="22" t="s">
        <v>216</v>
      </c>
      <c r="F101" s="22" t="s">
        <v>61</v>
      </c>
      <c r="G101" s="22">
        <v>1.0</v>
      </c>
    </row>
    <row r="102" ht="22.5" customHeight="1">
      <c r="A102" s="15">
        <v>46213.0</v>
      </c>
      <c r="B102" s="16">
        <v>1058.0</v>
      </c>
      <c r="C102" s="20" t="s">
        <v>374</v>
      </c>
      <c r="D102" s="20" t="s">
        <v>92</v>
      </c>
      <c r="E102" s="22" t="s">
        <v>92</v>
      </c>
      <c r="F102" s="20" t="s">
        <v>176</v>
      </c>
      <c r="G102" s="22">
        <v>1.0</v>
      </c>
    </row>
    <row r="103" ht="22.5" customHeight="1">
      <c r="A103" s="15">
        <v>46213.0</v>
      </c>
      <c r="B103" s="16">
        <v>1058.0</v>
      </c>
      <c r="C103" s="20" t="s">
        <v>374</v>
      </c>
      <c r="D103" s="20" t="s">
        <v>92</v>
      </c>
      <c r="E103" s="22" t="s">
        <v>92</v>
      </c>
      <c r="F103" s="20" t="s">
        <v>58</v>
      </c>
      <c r="G103" s="22">
        <v>2.0</v>
      </c>
    </row>
    <row r="104" ht="22.5" customHeight="1">
      <c r="A104" s="15">
        <v>46215.0</v>
      </c>
      <c r="B104" s="16">
        <v>1059.0</v>
      </c>
      <c r="C104" s="20" t="s">
        <v>375</v>
      </c>
      <c r="D104" s="20" t="s">
        <v>42</v>
      </c>
      <c r="E104" s="22" t="s">
        <v>216</v>
      </c>
      <c r="F104" s="20" t="s">
        <v>232</v>
      </c>
      <c r="G104" s="22">
        <v>1.0</v>
      </c>
    </row>
    <row r="105" ht="22.5" customHeight="1">
      <c r="A105" s="15">
        <v>46215.0</v>
      </c>
      <c r="B105" s="16">
        <v>1058.0</v>
      </c>
      <c r="C105" s="20" t="s">
        <v>374</v>
      </c>
      <c r="D105" s="20" t="s">
        <v>92</v>
      </c>
      <c r="E105" s="22" t="s">
        <v>92</v>
      </c>
      <c r="F105" s="20" t="s">
        <v>83</v>
      </c>
      <c r="G105" s="22">
        <v>1.0</v>
      </c>
    </row>
    <row r="106" ht="22.5" customHeight="1">
      <c r="A106" s="15">
        <v>46215.0</v>
      </c>
      <c r="B106" s="16">
        <v>1060.0</v>
      </c>
      <c r="C106" s="20" t="s">
        <v>376</v>
      </c>
      <c r="D106" s="20" t="s">
        <v>9</v>
      </c>
      <c r="E106" s="22" t="s">
        <v>219</v>
      </c>
      <c r="F106" s="20" t="s">
        <v>177</v>
      </c>
      <c r="G106" s="22">
        <v>1.0</v>
      </c>
    </row>
    <row r="107" ht="22.5" customHeight="1">
      <c r="A107" s="15">
        <v>46217.0</v>
      </c>
      <c r="B107" s="16">
        <v>1059.0</v>
      </c>
      <c r="C107" s="20" t="s">
        <v>375</v>
      </c>
      <c r="D107" s="20" t="s">
        <v>42</v>
      </c>
      <c r="E107" s="22" t="s">
        <v>216</v>
      </c>
      <c r="F107" s="20" t="s">
        <v>83</v>
      </c>
      <c r="G107" s="22">
        <v>1.0</v>
      </c>
    </row>
    <row r="108" ht="22.5" customHeight="1">
      <c r="A108" s="15">
        <v>46217.0</v>
      </c>
      <c r="B108" s="16">
        <v>1059.0</v>
      </c>
      <c r="C108" s="20" t="s">
        <v>375</v>
      </c>
      <c r="D108" s="20" t="s">
        <v>42</v>
      </c>
      <c r="E108" s="22" t="s">
        <v>216</v>
      </c>
      <c r="F108" s="20" t="s">
        <v>83</v>
      </c>
      <c r="G108" s="22">
        <v>1.0</v>
      </c>
    </row>
    <row r="109" ht="22.5" customHeight="1">
      <c r="A109" s="15">
        <v>46217.0</v>
      </c>
      <c r="B109" s="16">
        <v>1061.0</v>
      </c>
      <c r="C109" s="20" t="s">
        <v>377</v>
      </c>
      <c r="D109" s="20" t="s">
        <v>42</v>
      </c>
      <c r="E109" s="22" t="s">
        <v>216</v>
      </c>
      <c r="F109" s="22" t="s">
        <v>238</v>
      </c>
      <c r="G109" s="22">
        <v>2.0</v>
      </c>
    </row>
    <row r="110" ht="22.5" customHeight="1">
      <c r="A110" s="15">
        <v>46217.0</v>
      </c>
      <c r="B110" s="16">
        <v>1061.0</v>
      </c>
      <c r="C110" s="20" t="s">
        <v>377</v>
      </c>
      <c r="D110" s="20" t="s">
        <v>42</v>
      </c>
      <c r="E110" s="22" t="s">
        <v>216</v>
      </c>
      <c r="F110" s="22" t="s">
        <v>123</v>
      </c>
      <c r="G110" s="22">
        <v>2.0</v>
      </c>
    </row>
    <row r="111" ht="22.5" customHeight="1">
      <c r="A111" s="15">
        <v>46217.0</v>
      </c>
      <c r="B111" s="16">
        <v>1061.0</v>
      </c>
      <c r="C111" s="20" t="s">
        <v>377</v>
      </c>
      <c r="D111" s="20" t="s">
        <v>42</v>
      </c>
      <c r="E111" s="22" t="s">
        <v>216</v>
      </c>
      <c r="F111" s="20" t="s">
        <v>195</v>
      </c>
      <c r="G111" s="22">
        <v>1.0</v>
      </c>
    </row>
    <row r="112" ht="22.5" customHeight="1">
      <c r="A112" s="15">
        <v>46217.0</v>
      </c>
      <c r="B112" s="16">
        <v>1062.0</v>
      </c>
      <c r="C112" s="20" t="s">
        <v>378</v>
      </c>
      <c r="D112" s="20" t="s">
        <v>33</v>
      </c>
      <c r="E112" s="22" t="s">
        <v>227</v>
      </c>
      <c r="F112" s="22" t="s">
        <v>61</v>
      </c>
      <c r="G112" s="22">
        <v>1.0</v>
      </c>
    </row>
    <row r="113" ht="22.5" customHeight="1">
      <c r="A113" s="15">
        <v>46217.0</v>
      </c>
      <c r="B113" s="16">
        <v>1063.0</v>
      </c>
      <c r="C113" s="20" t="s">
        <v>379</v>
      </c>
      <c r="D113" s="20" t="s">
        <v>33</v>
      </c>
      <c r="E113" s="22" t="s">
        <v>227</v>
      </c>
      <c r="F113" s="20" t="s">
        <v>22</v>
      </c>
      <c r="G113" s="22">
        <v>2.0</v>
      </c>
    </row>
    <row r="114" ht="22.5" customHeight="1">
      <c r="A114" s="15">
        <v>46217.0</v>
      </c>
      <c r="B114" s="16">
        <v>1064.0</v>
      </c>
      <c r="C114" s="20" t="s">
        <v>380</v>
      </c>
      <c r="D114" s="20" t="s">
        <v>182</v>
      </c>
      <c r="E114" s="22" t="s">
        <v>219</v>
      </c>
      <c r="F114" s="20" t="s">
        <v>232</v>
      </c>
      <c r="G114" s="22">
        <v>2.0</v>
      </c>
    </row>
    <row r="115" ht="22.5" customHeight="1">
      <c r="A115" s="15">
        <v>46217.0</v>
      </c>
      <c r="B115" s="16">
        <v>1064.0</v>
      </c>
      <c r="C115" s="20" t="s">
        <v>380</v>
      </c>
      <c r="D115" s="20" t="s">
        <v>182</v>
      </c>
      <c r="E115" s="22" t="s">
        <v>219</v>
      </c>
      <c r="F115" s="20" t="s">
        <v>22</v>
      </c>
      <c r="G115" s="22">
        <v>1.0</v>
      </c>
    </row>
    <row r="116" ht="22.5" customHeight="1">
      <c r="A116" s="15">
        <v>46217.0</v>
      </c>
      <c r="B116" s="16">
        <v>1064.0</v>
      </c>
      <c r="C116" s="20" t="s">
        <v>380</v>
      </c>
      <c r="D116" s="20" t="s">
        <v>182</v>
      </c>
      <c r="E116" s="22" t="s">
        <v>219</v>
      </c>
      <c r="F116" s="20" t="s">
        <v>36</v>
      </c>
      <c r="G116" s="22">
        <v>1.0</v>
      </c>
    </row>
    <row r="117" ht="22.5" customHeight="1">
      <c r="A117" s="15">
        <v>46217.0</v>
      </c>
      <c r="B117" s="16">
        <v>1065.0</v>
      </c>
      <c r="C117" s="20" t="s">
        <v>381</v>
      </c>
      <c r="D117" s="20" t="s">
        <v>182</v>
      </c>
      <c r="E117" s="22" t="s">
        <v>219</v>
      </c>
      <c r="F117" s="20" t="s">
        <v>58</v>
      </c>
      <c r="G117" s="22">
        <v>1.0</v>
      </c>
    </row>
    <row r="118" ht="22.5" customHeight="1">
      <c r="A118" s="15">
        <v>46217.0</v>
      </c>
      <c r="B118" s="16">
        <v>1065.0</v>
      </c>
      <c r="C118" s="20" t="s">
        <v>381</v>
      </c>
      <c r="D118" s="20" t="s">
        <v>182</v>
      </c>
      <c r="E118" s="22" t="s">
        <v>219</v>
      </c>
      <c r="F118" s="20" t="s">
        <v>232</v>
      </c>
      <c r="G118" s="22">
        <v>1.0</v>
      </c>
    </row>
    <row r="119" ht="22.5" customHeight="1">
      <c r="A119" s="15">
        <v>46217.0</v>
      </c>
      <c r="B119" s="16">
        <v>1066.0</v>
      </c>
      <c r="C119" s="20" t="s">
        <v>382</v>
      </c>
      <c r="D119" s="30" t="s">
        <v>125</v>
      </c>
      <c r="E119" s="22" t="s">
        <v>219</v>
      </c>
      <c r="F119" s="20" t="s">
        <v>232</v>
      </c>
      <c r="G119" s="22">
        <v>3.0</v>
      </c>
    </row>
    <row r="120" ht="22.5" customHeight="1">
      <c r="A120" s="15">
        <v>46217.0</v>
      </c>
      <c r="B120" s="16">
        <v>1066.0</v>
      </c>
      <c r="C120" s="20" t="s">
        <v>382</v>
      </c>
      <c r="D120" s="30" t="s">
        <v>125</v>
      </c>
      <c r="E120" s="22" t="s">
        <v>219</v>
      </c>
      <c r="F120" s="22" t="s">
        <v>106</v>
      </c>
      <c r="G120" s="22">
        <v>1.0</v>
      </c>
    </row>
    <row r="121" ht="22.5" customHeight="1">
      <c r="A121" s="15">
        <v>46217.0</v>
      </c>
      <c r="B121" s="16">
        <v>1067.0</v>
      </c>
      <c r="C121" s="20" t="s">
        <v>383</v>
      </c>
      <c r="D121" s="20" t="s">
        <v>9</v>
      </c>
      <c r="E121" s="22" t="s">
        <v>219</v>
      </c>
      <c r="F121" s="20" t="s">
        <v>232</v>
      </c>
      <c r="G121" s="22">
        <v>1.0</v>
      </c>
    </row>
    <row r="122" ht="22.5" customHeight="1">
      <c r="A122" s="15">
        <v>46217.0</v>
      </c>
      <c r="B122" s="16">
        <v>1068.0</v>
      </c>
      <c r="C122" s="20" t="s">
        <v>384</v>
      </c>
      <c r="D122" s="20" t="s">
        <v>9</v>
      </c>
      <c r="E122" s="22" t="s">
        <v>219</v>
      </c>
      <c r="F122" s="20" t="s">
        <v>36</v>
      </c>
      <c r="G122" s="22">
        <v>1.0</v>
      </c>
    </row>
    <row r="123" ht="22.5" customHeight="1">
      <c r="A123" s="15">
        <v>46217.0</v>
      </c>
      <c r="B123" s="16">
        <v>1069.0</v>
      </c>
      <c r="C123" s="20" t="s">
        <v>385</v>
      </c>
      <c r="D123" s="20" t="s">
        <v>47</v>
      </c>
      <c r="E123" s="22" t="s">
        <v>216</v>
      </c>
      <c r="F123" s="20" t="s">
        <v>83</v>
      </c>
      <c r="G123" s="22">
        <v>1.0</v>
      </c>
    </row>
    <row r="124" ht="22.5" customHeight="1">
      <c r="A124" s="15">
        <v>46217.0</v>
      </c>
      <c r="B124" s="16">
        <v>1070.0</v>
      </c>
      <c r="C124" s="20" t="s">
        <v>386</v>
      </c>
      <c r="D124" s="30" t="s">
        <v>478</v>
      </c>
      <c r="E124" s="22" t="s">
        <v>92</v>
      </c>
      <c r="F124" s="20" t="s">
        <v>22</v>
      </c>
      <c r="G124" s="22">
        <v>2.0</v>
      </c>
    </row>
    <row r="125" ht="22.5" customHeight="1">
      <c r="A125" s="15">
        <v>46218.0</v>
      </c>
      <c r="B125" s="16">
        <v>1071.0</v>
      </c>
      <c r="C125" s="20" t="s">
        <v>387</v>
      </c>
      <c r="D125" s="20" t="s">
        <v>42</v>
      </c>
      <c r="E125" s="22" t="s">
        <v>216</v>
      </c>
      <c r="F125" s="22" t="s">
        <v>178</v>
      </c>
      <c r="G125" s="22">
        <v>2.0</v>
      </c>
    </row>
    <row r="126" ht="22.5" customHeight="1">
      <c r="A126" s="15">
        <v>46218.0</v>
      </c>
      <c r="B126" s="16">
        <v>1072.0</v>
      </c>
      <c r="C126" s="20" t="s">
        <v>388</v>
      </c>
      <c r="D126" s="20" t="s">
        <v>42</v>
      </c>
      <c r="E126" s="22" t="s">
        <v>216</v>
      </c>
      <c r="F126" s="20" t="s">
        <v>36</v>
      </c>
      <c r="G126" s="22">
        <v>1.0</v>
      </c>
    </row>
    <row r="127" ht="22.5" customHeight="1">
      <c r="A127" s="15">
        <v>46218.0</v>
      </c>
      <c r="B127" s="16">
        <v>1073.0</v>
      </c>
      <c r="C127" s="20" t="s">
        <v>389</v>
      </c>
      <c r="D127" s="20" t="s">
        <v>8</v>
      </c>
      <c r="E127" s="22" t="s">
        <v>8</v>
      </c>
      <c r="F127" s="20" t="s">
        <v>22</v>
      </c>
      <c r="G127" s="22">
        <v>1.0</v>
      </c>
    </row>
    <row r="128" ht="22.5" customHeight="1">
      <c r="A128" s="15">
        <v>46218.0</v>
      </c>
      <c r="B128" s="16">
        <v>1074.0</v>
      </c>
      <c r="C128" s="20" t="s">
        <v>12</v>
      </c>
      <c r="D128" s="20" t="s">
        <v>479</v>
      </c>
      <c r="E128" s="22" t="s">
        <v>25</v>
      </c>
      <c r="F128" s="20" t="s">
        <v>232</v>
      </c>
      <c r="G128" s="22">
        <v>2.0</v>
      </c>
    </row>
    <row r="129" ht="22.5" customHeight="1">
      <c r="A129" s="15">
        <v>46218.0</v>
      </c>
      <c r="B129" s="36">
        <v>1144.0</v>
      </c>
      <c r="C129" s="20"/>
      <c r="D129" s="20" t="s">
        <v>479</v>
      </c>
      <c r="E129" s="22" t="s">
        <v>25</v>
      </c>
      <c r="F129" s="22" t="s">
        <v>61</v>
      </c>
      <c r="G129" s="22">
        <v>1.0</v>
      </c>
    </row>
    <row r="130" ht="22.5" customHeight="1">
      <c r="A130" s="15">
        <v>46218.0</v>
      </c>
      <c r="B130" s="16">
        <v>1075.0</v>
      </c>
      <c r="C130" s="20" t="s">
        <v>390</v>
      </c>
      <c r="D130" s="20" t="s">
        <v>480</v>
      </c>
      <c r="E130" s="22" t="s">
        <v>8</v>
      </c>
      <c r="F130" s="20" t="s">
        <v>22</v>
      </c>
      <c r="G130" s="22">
        <v>1.0</v>
      </c>
    </row>
    <row r="131" ht="22.5" customHeight="1">
      <c r="A131" s="15">
        <v>46218.0</v>
      </c>
      <c r="B131" s="36">
        <v>1137.0</v>
      </c>
      <c r="C131" s="20"/>
      <c r="D131" s="20" t="s">
        <v>84</v>
      </c>
      <c r="E131" s="22" t="s">
        <v>226</v>
      </c>
      <c r="F131" s="20" t="s">
        <v>83</v>
      </c>
      <c r="G131" s="22">
        <v>2.0</v>
      </c>
    </row>
    <row r="132" ht="22.5" customHeight="1">
      <c r="A132" s="15">
        <v>46218.0</v>
      </c>
      <c r="B132" s="36">
        <v>1138.0</v>
      </c>
      <c r="C132" s="20"/>
      <c r="D132" s="37"/>
      <c r="E132" s="22" t="s">
        <v>224</v>
      </c>
      <c r="F132" s="20" t="s">
        <v>239</v>
      </c>
      <c r="G132" s="22">
        <v>1.0</v>
      </c>
    </row>
    <row r="133" ht="22.5" customHeight="1">
      <c r="A133" s="15">
        <v>46219.0</v>
      </c>
      <c r="B133" s="16">
        <v>1076.0</v>
      </c>
      <c r="C133" s="20" t="s">
        <v>391</v>
      </c>
      <c r="D133" s="20" t="s">
        <v>33</v>
      </c>
      <c r="E133" s="22" t="s">
        <v>227</v>
      </c>
      <c r="F133" s="22" t="s">
        <v>158</v>
      </c>
      <c r="G133" s="22">
        <v>1.0</v>
      </c>
    </row>
    <row r="134" ht="22.5" customHeight="1">
      <c r="A134" s="15">
        <v>46219.0</v>
      </c>
      <c r="B134" s="16">
        <v>1076.0</v>
      </c>
      <c r="C134" s="20" t="s">
        <v>391</v>
      </c>
      <c r="D134" s="20" t="s">
        <v>33</v>
      </c>
      <c r="E134" s="22" t="s">
        <v>227</v>
      </c>
      <c r="F134" s="20" t="s">
        <v>58</v>
      </c>
      <c r="G134" s="22">
        <v>1.0</v>
      </c>
    </row>
    <row r="135" ht="22.5" customHeight="1">
      <c r="A135" s="15">
        <v>46219.0</v>
      </c>
      <c r="B135" s="16">
        <v>1076.0</v>
      </c>
      <c r="C135" s="20" t="s">
        <v>391</v>
      </c>
      <c r="D135" s="20" t="s">
        <v>33</v>
      </c>
      <c r="E135" s="22" t="s">
        <v>227</v>
      </c>
      <c r="F135" s="20" t="s">
        <v>81</v>
      </c>
      <c r="G135" s="22">
        <v>1.0</v>
      </c>
    </row>
    <row r="136" ht="22.5" customHeight="1">
      <c r="A136" s="15">
        <v>46219.0</v>
      </c>
      <c r="B136" s="16">
        <v>1077.0</v>
      </c>
      <c r="C136" s="20" t="s">
        <v>393</v>
      </c>
      <c r="D136" s="20" t="s">
        <v>8</v>
      </c>
      <c r="E136" s="22" t="s">
        <v>8</v>
      </c>
      <c r="F136" s="20" t="s">
        <v>83</v>
      </c>
      <c r="G136" s="22">
        <v>1.0</v>
      </c>
    </row>
    <row r="137" ht="22.5" customHeight="1">
      <c r="A137" s="15">
        <v>46219.0</v>
      </c>
      <c r="B137" s="16">
        <v>1077.0</v>
      </c>
      <c r="C137" s="20" t="s">
        <v>393</v>
      </c>
      <c r="D137" s="20" t="s">
        <v>8</v>
      </c>
      <c r="E137" s="22" t="s">
        <v>8</v>
      </c>
      <c r="F137" s="20" t="s">
        <v>22</v>
      </c>
      <c r="G137" s="22">
        <v>1.0</v>
      </c>
    </row>
    <row r="138" ht="22.5" customHeight="1">
      <c r="A138" s="15">
        <v>46219.0</v>
      </c>
      <c r="B138" s="16">
        <v>1078.0</v>
      </c>
      <c r="C138" s="20" t="s">
        <v>394</v>
      </c>
      <c r="D138" s="20" t="s">
        <v>84</v>
      </c>
      <c r="E138" s="22" t="s">
        <v>226</v>
      </c>
      <c r="F138" s="20" t="s">
        <v>83</v>
      </c>
      <c r="G138" s="22">
        <v>2.0</v>
      </c>
    </row>
    <row r="139" ht="22.5" customHeight="1">
      <c r="A139" s="15">
        <v>46219.0</v>
      </c>
      <c r="B139" s="16">
        <v>1079.0</v>
      </c>
      <c r="C139" s="20" t="s">
        <v>395</v>
      </c>
      <c r="D139" s="20" t="s">
        <v>9</v>
      </c>
      <c r="E139" s="22" t="s">
        <v>219</v>
      </c>
      <c r="F139" s="20" t="s">
        <v>83</v>
      </c>
      <c r="G139" s="22">
        <v>1.0</v>
      </c>
    </row>
    <row r="140" ht="22.5" customHeight="1">
      <c r="A140" s="15">
        <v>46219.0</v>
      </c>
      <c r="B140" s="16">
        <v>1078.0</v>
      </c>
      <c r="C140" s="20" t="s">
        <v>394</v>
      </c>
      <c r="D140" s="20" t="s">
        <v>84</v>
      </c>
      <c r="E140" s="22" t="s">
        <v>226</v>
      </c>
      <c r="F140" s="20" t="s">
        <v>85</v>
      </c>
      <c r="G140" s="22">
        <v>2.0</v>
      </c>
    </row>
    <row r="141" ht="22.5" customHeight="1">
      <c r="A141" s="38">
        <v>46220.0</v>
      </c>
      <c r="B141" s="16">
        <v>1080.0</v>
      </c>
      <c r="C141" s="20" t="s">
        <v>396</v>
      </c>
      <c r="D141" s="20" t="s">
        <v>92</v>
      </c>
      <c r="E141" s="22" t="s">
        <v>92</v>
      </c>
      <c r="F141" s="20" t="s">
        <v>232</v>
      </c>
      <c r="G141" s="22">
        <v>1.0</v>
      </c>
    </row>
    <row r="142" ht="22.5" customHeight="1">
      <c r="A142" s="38">
        <v>46220.0</v>
      </c>
      <c r="B142" s="16">
        <v>1080.0</v>
      </c>
      <c r="C142" s="20" t="s">
        <v>396</v>
      </c>
      <c r="D142" s="20" t="s">
        <v>92</v>
      </c>
      <c r="E142" s="22" t="s">
        <v>92</v>
      </c>
      <c r="F142" s="22" t="s">
        <v>61</v>
      </c>
      <c r="G142" s="22">
        <v>1.0</v>
      </c>
    </row>
    <row r="143" ht="22.5" customHeight="1">
      <c r="A143" s="15">
        <v>46223.0</v>
      </c>
      <c r="B143" s="36">
        <v>1139.0</v>
      </c>
      <c r="C143" s="20"/>
      <c r="D143" s="39"/>
      <c r="E143" s="22" t="s">
        <v>224</v>
      </c>
      <c r="F143" s="20" t="s">
        <v>58</v>
      </c>
      <c r="G143" s="22">
        <v>3.0</v>
      </c>
    </row>
    <row r="144" ht="22.5" customHeight="1">
      <c r="A144" s="15">
        <v>46224.0</v>
      </c>
      <c r="B144" s="16">
        <v>1081.0</v>
      </c>
      <c r="C144" s="20" t="s">
        <v>397</v>
      </c>
      <c r="D144" s="20" t="s">
        <v>8</v>
      </c>
      <c r="E144" s="22" t="s">
        <v>8</v>
      </c>
      <c r="F144" s="20" t="s">
        <v>22</v>
      </c>
      <c r="G144" s="22">
        <v>1.0</v>
      </c>
    </row>
    <row r="145" ht="22.5" customHeight="1">
      <c r="A145" s="15">
        <v>46224.0</v>
      </c>
      <c r="B145" s="16">
        <v>1081.0</v>
      </c>
      <c r="C145" s="20" t="s">
        <v>397</v>
      </c>
      <c r="D145" s="20" t="s">
        <v>8</v>
      </c>
      <c r="E145" s="22" t="s">
        <v>8</v>
      </c>
      <c r="F145" s="22" t="s">
        <v>231</v>
      </c>
      <c r="G145" s="22">
        <v>1.0</v>
      </c>
    </row>
    <row r="146" ht="22.5" customHeight="1">
      <c r="A146" s="15">
        <v>46224.0</v>
      </c>
      <c r="B146" s="16">
        <v>1081.0</v>
      </c>
      <c r="C146" s="20" t="s">
        <v>397</v>
      </c>
      <c r="D146" s="20" t="s">
        <v>8</v>
      </c>
      <c r="E146" s="22" t="s">
        <v>8</v>
      </c>
      <c r="F146" s="20" t="s">
        <v>81</v>
      </c>
      <c r="G146" s="22">
        <v>1.0</v>
      </c>
    </row>
    <row r="147" ht="22.5" customHeight="1">
      <c r="A147" s="15">
        <v>46224.0</v>
      </c>
      <c r="B147" s="16">
        <v>1081.0</v>
      </c>
      <c r="C147" s="20" t="s">
        <v>397</v>
      </c>
      <c r="D147" s="20" t="s">
        <v>8</v>
      </c>
      <c r="E147" s="22" t="s">
        <v>8</v>
      </c>
      <c r="F147" s="20" t="s">
        <v>232</v>
      </c>
      <c r="G147" s="22">
        <v>1.0</v>
      </c>
    </row>
    <row r="148" ht="22.5" customHeight="1">
      <c r="A148" s="15">
        <v>46224.0</v>
      </c>
      <c r="B148" s="16">
        <v>1082.0</v>
      </c>
      <c r="C148" s="20" t="s">
        <v>398</v>
      </c>
      <c r="D148" s="20" t="s">
        <v>481</v>
      </c>
      <c r="E148" s="22" t="s">
        <v>25</v>
      </c>
      <c r="F148" s="22" t="s">
        <v>61</v>
      </c>
      <c r="G148" s="22">
        <v>1.0</v>
      </c>
    </row>
    <row r="149" ht="22.5" customHeight="1">
      <c r="A149" s="15">
        <v>46224.0</v>
      </c>
      <c r="B149" s="16">
        <v>1082.0</v>
      </c>
      <c r="C149" s="20" t="s">
        <v>398</v>
      </c>
      <c r="D149" s="20" t="s">
        <v>25</v>
      </c>
      <c r="E149" s="22" t="s">
        <v>25</v>
      </c>
      <c r="F149" s="20" t="s">
        <v>232</v>
      </c>
      <c r="G149" s="22">
        <v>1.0</v>
      </c>
    </row>
    <row r="150" ht="22.5" customHeight="1">
      <c r="A150" s="15">
        <v>46224.0</v>
      </c>
      <c r="B150" s="16">
        <v>1082.0</v>
      </c>
      <c r="C150" s="20" t="s">
        <v>398</v>
      </c>
      <c r="D150" s="20" t="s">
        <v>25</v>
      </c>
      <c r="E150" s="22" t="s">
        <v>25</v>
      </c>
      <c r="F150" s="20" t="s">
        <v>22</v>
      </c>
      <c r="G150" s="22">
        <v>1.0</v>
      </c>
    </row>
    <row r="151" ht="22.5" customHeight="1">
      <c r="A151" s="15">
        <v>46224.0</v>
      </c>
      <c r="B151" s="16">
        <v>1082.0</v>
      </c>
      <c r="C151" s="20" t="s">
        <v>398</v>
      </c>
      <c r="D151" s="20" t="s">
        <v>25</v>
      </c>
      <c r="E151" s="22" t="s">
        <v>25</v>
      </c>
      <c r="F151" s="20" t="s">
        <v>106</v>
      </c>
      <c r="G151" s="22">
        <v>1.0</v>
      </c>
    </row>
    <row r="152" ht="22.5" customHeight="1">
      <c r="A152" s="15">
        <v>46224.0</v>
      </c>
      <c r="B152" s="16">
        <v>1082.0</v>
      </c>
      <c r="C152" s="20" t="s">
        <v>398</v>
      </c>
      <c r="D152" s="20" t="s">
        <v>25</v>
      </c>
      <c r="E152" s="22" t="s">
        <v>25</v>
      </c>
      <c r="F152" s="20" t="s">
        <v>116</v>
      </c>
      <c r="G152" s="22">
        <v>1.0</v>
      </c>
    </row>
    <row r="153" ht="22.5" customHeight="1">
      <c r="A153" s="38">
        <v>46224.0</v>
      </c>
      <c r="B153" s="16">
        <v>1083.0</v>
      </c>
      <c r="C153" s="20" t="s">
        <v>399</v>
      </c>
      <c r="D153" s="20" t="s">
        <v>485</v>
      </c>
      <c r="E153" s="22" t="s">
        <v>25</v>
      </c>
      <c r="F153" s="20" t="s">
        <v>232</v>
      </c>
      <c r="G153" s="22">
        <v>1.0</v>
      </c>
    </row>
    <row r="154" ht="22.5" customHeight="1">
      <c r="A154" s="15">
        <v>46226.0</v>
      </c>
      <c r="B154" s="16">
        <v>1084.0</v>
      </c>
      <c r="C154" s="20" t="s">
        <v>400</v>
      </c>
      <c r="D154" s="20" t="s">
        <v>8</v>
      </c>
      <c r="E154" s="22" t="s">
        <v>8</v>
      </c>
      <c r="F154" s="22" t="s">
        <v>83</v>
      </c>
      <c r="G154" s="22">
        <v>1.0</v>
      </c>
    </row>
    <row r="155" ht="22.5" customHeight="1">
      <c r="A155" s="15">
        <v>46226.0</v>
      </c>
      <c r="B155" s="36">
        <v>1140.0</v>
      </c>
      <c r="C155" s="20"/>
      <c r="D155" s="20" t="s">
        <v>42</v>
      </c>
      <c r="E155" s="22" t="s">
        <v>216</v>
      </c>
      <c r="F155" s="22" t="s">
        <v>106</v>
      </c>
      <c r="G155" s="22">
        <v>1.0</v>
      </c>
    </row>
    <row r="156" ht="22.5" customHeight="1">
      <c r="A156" s="15">
        <v>46226.0</v>
      </c>
      <c r="B156" s="36">
        <v>1140.0</v>
      </c>
      <c r="C156" s="20"/>
      <c r="D156" s="20" t="s">
        <v>42</v>
      </c>
      <c r="E156" s="22" t="s">
        <v>216</v>
      </c>
      <c r="F156" s="20" t="s">
        <v>232</v>
      </c>
      <c r="G156" s="22">
        <v>1.0</v>
      </c>
    </row>
    <row r="157" ht="22.5" customHeight="1">
      <c r="A157" s="15">
        <v>46226.0</v>
      </c>
      <c r="B157" s="16">
        <v>1085.0</v>
      </c>
      <c r="C157" s="20" t="s">
        <v>401</v>
      </c>
      <c r="D157" s="20" t="s">
        <v>182</v>
      </c>
      <c r="E157" s="22" t="s">
        <v>219</v>
      </c>
      <c r="F157" s="20" t="s">
        <v>106</v>
      </c>
      <c r="G157" s="22">
        <v>1.0</v>
      </c>
    </row>
    <row r="158" ht="22.5" customHeight="1">
      <c r="A158" s="38">
        <v>46226.0</v>
      </c>
      <c r="B158" s="36">
        <v>1141.0</v>
      </c>
      <c r="C158" s="20"/>
      <c r="D158" s="20" t="s">
        <v>25</v>
      </c>
      <c r="E158" s="22" t="s">
        <v>25</v>
      </c>
      <c r="F158" s="20" t="s">
        <v>36</v>
      </c>
      <c r="G158" s="22">
        <v>1.0</v>
      </c>
    </row>
    <row r="159" ht="22.5" customHeight="1">
      <c r="A159" s="38">
        <v>46226.0</v>
      </c>
      <c r="B159" s="16">
        <v>1085.0</v>
      </c>
      <c r="C159" s="20" t="s">
        <v>401</v>
      </c>
      <c r="D159" s="20" t="s">
        <v>182</v>
      </c>
      <c r="E159" s="22" t="s">
        <v>219</v>
      </c>
      <c r="F159" s="20" t="s">
        <v>232</v>
      </c>
      <c r="G159" s="22">
        <v>1.0</v>
      </c>
    </row>
    <row r="160" ht="22.5" customHeight="1">
      <c r="A160" s="15">
        <v>46228.0</v>
      </c>
      <c r="B160" s="16">
        <v>1086.0</v>
      </c>
      <c r="C160" s="20" t="s">
        <v>402</v>
      </c>
      <c r="D160" s="20" t="s">
        <v>125</v>
      </c>
      <c r="E160" s="22" t="s">
        <v>219</v>
      </c>
      <c r="F160" s="20" t="s">
        <v>243</v>
      </c>
      <c r="G160" s="22">
        <v>1.0</v>
      </c>
    </row>
    <row r="161" ht="22.5" customHeight="1">
      <c r="A161" s="15">
        <v>46228.0</v>
      </c>
      <c r="B161" s="16">
        <v>1087.0</v>
      </c>
      <c r="C161" s="20" t="s">
        <v>403</v>
      </c>
      <c r="D161" s="20" t="s">
        <v>452</v>
      </c>
      <c r="E161" s="22" t="s">
        <v>25</v>
      </c>
      <c r="F161" s="20" t="s">
        <v>81</v>
      </c>
      <c r="G161" s="22">
        <v>2.0</v>
      </c>
    </row>
    <row r="162" ht="22.5" customHeight="1">
      <c r="A162" s="15">
        <v>46228.0</v>
      </c>
      <c r="B162" s="16">
        <v>1087.0</v>
      </c>
      <c r="C162" s="20" t="s">
        <v>403</v>
      </c>
      <c r="D162" s="20" t="s">
        <v>452</v>
      </c>
      <c r="E162" s="22" t="s">
        <v>25</v>
      </c>
      <c r="F162" s="20" t="s">
        <v>83</v>
      </c>
      <c r="G162" s="22">
        <v>2.0</v>
      </c>
    </row>
    <row r="163" ht="22.5" customHeight="1">
      <c r="A163" s="15">
        <v>46229.0</v>
      </c>
      <c r="B163" s="16">
        <v>1088.0</v>
      </c>
      <c r="C163" s="20" t="s">
        <v>404</v>
      </c>
      <c r="D163" s="20" t="s">
        <v>33</v>
      </c>
      <c r="E163" s="22" t="s">
        <v>227</v>
      </c>
      <c r="F163" s="22" t="s">
        <v>244</v>
      </c>
      <c r="G163" s="22">
        <v>1.0</v>
      </c>
    </row>
    <row r="164" ht="22.5" customHeight="1">
      <c r="A164" s="15">
        <v>46229.0</v>
      </c>
      <c r="B164" s="16">
        <v>1088.0</v>
      </c>
      <c r="C164" s="20" t="s">
        <v>404</v>
      </c>
      <c r="D164" s="20" t="s">
        <v>33</v>
      </c>
      <c r="E164" s="22" t="s">
        <v>227</v>
      </c>
      <c r="F164" s="20" t="s">
        <v>233</v>
      </c>
      <c r="G164" s="22">
        <v>1.0</v>
      </c>
    </row>
    <row r="165" ht="22.5" customHeight="1">
      <c r="A165" s="15">
        <v>46229.0</v>
      </c>
      <c r="B165" s="16">
        <v>1089.0</v>
      </c>
      <c r="C165" s="20" t="s">
        <v>405</v>
      </c>
      <c r="D165" s="20" t="s">
        <v>125</v>
      </c>
      <c r="E165" s="22" t="s">
        <v>219</v>
      </c>
      <c r="F165" s="20" t="s">
        <v>245</v>
      </c>
      <c r="G165" s="22">
        <v>2.0</v>
      </c>
    </row>
    <row r="166" ht="22.5" customHeight="1">
      <c r="A166" s="15">
        <v>46229.0</v>
      </c>
      <c r="B166" s="16">
        <v>1090.0</v>
      </c>
      <c r="C166" s="20" t="s">
        <v>406</v>
      </c>
      <c r="D166" s="20" t="s">
        <v>125</v>
      </c>
      <c r="E166" s="22" t="s">
        <v>219</v>
      </c>
      <c r="F166" s="22" t="s">
        <v>231</v>
      </c>
      <c r="G166" s="22">
        <v>2.0</v>
      </c>
    </row>
    <row r="167" ht="22.5" customHeight="1">
      <c r="A167" s="15">
        <v>46229.0</v>
      </c>
      <c r="B167" s="36">
        <v>1142.0</v>
      </c>
      <c r="C167" s="20"/>
      <c r="D167" s="20" t="s">
        <v>47</v>
      </c>
      <c r="E167" s="22" t="s">
        <v>216</v>
      </c>
      <c r="F167" s="20" t="s">
        <v>57</v>
      </c>
      <c r="G167" s="22">
        <v>2.0</v>
      </c>
    </row>
    <row r="168" ht="22.5" customHeight="1">
      <c r="A168" s="15">
        <v>46229.0</v>
      </c>
      <c r="B168" s="16">
        <v>1091.0</v>
      </c>
      <c r="C168" s="20" t="s">
        <v>142</v>
      </c>
      <c r="D168" s="20" t="s">
        <v>225</v>
      </c>
      <c r="E168" s="22" t="s">
        <v>225</v>
      </c>
      <c r="F168" s="20" t="s">
        <v>232</v>
      </c>
      <c r="G168" s="22">
        <v>2.0</v>
      </c>
    </row>
    <row r="169" ht="22.5" customHeight="1">
      <c r="A169" s="15">
        <v>46230.0</v>
      </c>
      <c r="B169" s="16">
        <v>1092.0</v>
      </c>
      <c r="C169" s="20" t="s">
        <v>407</v>
      </c>
      <c r="D169" s="20" t="s">
        <v>488</v>
      </c>
      <c r="E169" s="22" t="s">
        <v>92</v>
      </c>
      <c r="F169" s="20" t="s">
        <v>83</v>
      </c>
      <c r="G169" s="22">
        <v>3.0</v>
      </c>
    </row>
    <row r="170" ht="22.5" customHeight="1">
      <c r="A170" s="15">
        <v>46230.0</v>
      </c>
      <c r="B170" s="16">
        <v>1093.0</v>
      </c>
      <c r="C170" s="20" t="s">
        <v>408</v>
      </c>
      <c r="D170" s="20" t="s">
        <v>53</v>
      </c>
      <c r="E170" s="22" t="s">
        <v>53</v>
      </c>
      <c r="F170" s="20" t="s">
        <v>179</v>
      </c>
      <c r="G170" s="22">
        <v>2.0</v>
      </c>
    </row>
    <row r="171" ht="22.5" customHeight="1">
      <c r="A171" s="15">
        <v>46230.0</v>
      </c>
      <c r="B171" s="16">
        <v>1094.0</v>
      </c>
      <c r="C171" s="20" t="s">
        <v>409</v>
      </c>
      <c r="D171" s="20" t="s">
        <v>9</v>
      </c>
      <c r="E171" s="22" t="s">
        <v>219</v>
      </c>
      <c r="F171" s="20" t="s">
        <v>83</v>
      </c>
      <c r="G171" s="22">
        <v>2.0</v>
      </c>
    </row>
    <row r="172" ht="22.5" customHeight="1">
      <c r="A172" s="15">
        <v>46231.0</v>
      </c>
      <c r="B172" s="16">
        <v>1092.0</v>
      </c>
      <c r="C172" s="20" t="s">
        <v>407</v>
      </c>
      <c r="D172" s="20" t="s">
        <v>489</v>
      </c>
      <c r="E172" s="22" t="s">
        <v>92</v>
      </c>
      <c r="F172" s="22" t="s">
        <v>246</v>
      </c>
      <c r="G172" s="22">
        <v>1.0</v>
      </c>
    </row>
    <row r="173" ht="22.5" customHeight="1">
      <c r="A173" s="15">
        <v>46232.0</v>
      </c>
      <c r="B173" s="16">
        <v>1095.0</v>
      </c>
      <c r="C173" s="20" t="s">
        <v>410</v>
      </c>
      <c r="D173" s="20" t="s">
        <v>490</v>
      </c>
      <c r="E173" s="22" t="s">
        <v>25</v>
      </c>
      <c r="F173" s="22" t="s">
        <v>231</v>
      </c>
      <c r="G173" s="22">
        <v>1.0</v>
      </c>
    </row>
    <row r="174" ht="22.5" customHeight="1">
      <c r="A174" s="15">
        <v>46235.0</v>
      </c>
      <c r="B174" s="16">
        <v>1096.0</v>
      </c>
      <c r="C174" s="20" t="s">
        <v>411</v>
      </c>
      <c r="D174" s="20" t="s">
        <v>47</v>
      </c>
      <c r="E174" s="22" t="s">
        <v>216</v>
      </c>
      <c r="F174" s="20" t="s">
        <v>83</v>
      </c>
      <c r="G174" s="22">
        <v>2.0</v>
      </c>
    </row>
    <row r="175" ht="22.5" customHeight="1">
      <c r="A175" s="15">
        <v>46235.0</v>
      </c>
      <c r="B175" s="16">
        <v>1097.0</v>
      </c>
      <c r="C175" s="20" t="s">
        <v>412</v>
      </c>
      <c r="D175" s="20" t="s">
        <v>47</v>
      </c>
      <c r="E175" s="22" t="s">
        <v>216</v>
      </c>
      <c r="F175" s="20" t="s">
        <v>83</v>
      </c>
      <c r="G175" s="22">
        <v>1.0</v>
      </c>
    </row>
    <row r="176" ht="22.5" customHeight="1">
      <c r="A176" s="15">
        <v>46236.0</v>
      </c>
      <c r="B176" s="16">
        <v>1098.0</v>
      </c>
      <c r="C176" s="20" t="s">
        <v>413</v>
      </c>
      <c r="D176" s="20" t="s">
        <v>167</v>
      </c>
      <c r="E176" s="22" t="s">
        <v>224</v>
      </c>
      <c r="F176" s="20" t="s">
        <v>36</v>
      </c>
      <c r="G176" s="22">
        <v>1.0</v>
      </c>
    </row>
    <row r="177" ht="22.5" customHeight="1">
      <c r="A177" s="15">
        <v>46237.0</v>
      </c>
      <c r="B177" s="16">
        <v>1099.0</v>
      </c>
      <c r="C177" s="20" t="s">
        <v>414</v>
      </c>
      <c r="D177" s="20" t="s">
        <v>491</v>
      </c>
      <c r="E177" s="22" t="s">
        <v>25</v>
      </c>
      <c r="F177" s="20" t="s">
        <v>248</v>
      </c>
      <c r="G177" s="22">
        <v>2.0</v>
      </c>
    </row>
    <row r="178" ht="22.5" customHeight="1">
      <c r="A178" s="15">
        <v>46237.0</v>
      </c>
      <c r="B178" s="16">
        <v>1100.0</v>
      </c>
      <c r="C178" s="20" t="s">
        <v>415</v>
      </c>
      <c r="D178" s="20" t="s">
        <v>47</v>
      </c>
      <c r="E178" s="22" t="s">
        <v>216</v>
      </c>
      <c r="F178" s="20" t="s">
        <v>185</v>
      </c>
      <c r="G178" s="22">
        <v>1.0</v>
      </c>
    </row>
    <row r="179" ht="22.5" customHeight="1">
      <c r="A179" s="15">
        <v>46239.0</v>
      </c>
      <c r="B179" s="16">
        <v>1101.0</v>
      </c>
      <c r="C179" s="20" t="s">
        <v>416</v>
      </c>
      <c r="D179" s="20" t="s">
        <v>25</v>
      </c>
      <c r="E179" s="22" t="s">
        <v>25</v>
      </c>
      <c r="F179" s="22" t="s">
        <v>178</v>
      </c>
      <c r="G179" s="22">
        <v>1.0</v>
      </c>
    </row>
    <row r="180" ht="22.5" customHeight="1">
      <c r="A180" s="15">
        <v>46239.0</v>
      </c>
      <c r="B180" s="16">
        <v>1101.0</v>
      </c>
      <c r="C180" s="20" t="s">
        <v>416</v>
      </c>
      <c r="D180" s="20" t="s">
        <v>25</v>
      </c>
      <c r="E180" s="22" t="s">
        <v>25</v>
      </c>
      <c r="F180" s="20" t="s">
        <v>83</v>
      </c>
      <c r="G180" s="22">
        <v>1.0</v>
      </c>
    </row>
    <row r="181" ht="22.5" customHeight="1">
      <c r="A181" s="15">
        <v>46239.0</v>
      </c>
      <c r="B181" s="16">
        <v>1101.0</v>
      </c>
      <c r="C181" s="20" t="s">
        <v>416</v>
      </c>
      <c r="D181" s="20" t="s">
        <v>25</v>
      </c>
      <c r="E181" s="22" t="s">
        <v>25</v>
      </c>
      <c r="F181" s="22" t="s">
        <v>249</v>
      </c>
      <c r="G181" s="22">
        <v>1.0</v>
      </c>
    </row>
    <row r="182" ht="22.5" customHeight="1">
      <c r="A182" s="15">
        <v>46239.0</v>
      </c>
      <c r="B182" s="16">
        <v>1102.0</v>
      </c>
      <c r="C182" s="20" t="s">
        <v>417</v>
      </c>
      <c r="D182" s="20" t="s">
        <v>162</v>
      </c>
      <c r="E182" s="22" t="s">
        <v>227</v>
      </c>
      <c r="F182" s="20" t="s">
        <v>83</v>
      </c>
      <c r="G182" s="22">
        <v>1.0</v>
      </c>
    </row>
    <row r="183" ht="22.5" customHeight="1">
      <c r="A183" s="15">
        <v>46240.0</v>
      </c>
      <c r="B183" s="16">
        <v>1103.0</v>
      </c>
      <c r="C183" s="20" t="s">
        <v>418</v>
      </c>
      <c r="D183" s="20" t="s">
        <v>42</v>
      </c>
      <c r="E183" s="22" t="s">
        <v>216</v>
      </c>
      <c r="F183" s="20" t="s">
        <v>22</v>
      </c>
      <c r="G183" s="22">
        <v>1.0</v>
      </c>
    </row>
    <row r="184" ht="22.5" customHeight="1">
      <c r="A184" s="15">
        <v>46240.0</v>
      </c>
      <c r="B184" s="16">
        <v>1104.0</v>
      </c>
      <c r="C184" s="20" t="s">
        <v>419</v>
      </c>
      <c r="D184" s="20" t="s">
        <v>25</v>
      </c>
      <c r="E184" s="22" t="s">
        <v>25</v>
      </c>
      <c r="F184" s="22" t="s">
        <v>249</v>
      </c>
      <c r="G184" s="22">
        <v>1.0</v>
      </c>
    </row>
    <row r="185" ht="22.5" customHeight="1">
      <c r="A185" s="15">
        <v>46240.0</v>
      </c>
      <c r="B185" s="16">
        <v>1104.0</v>
      </c>
      <c r="C185" s="20" t="s">
        <v>419</v>
      </c>
      <c r="D185" s="20" t="s">
        <v>25</v>
      </c>
      <c r="E185" s="22" t="s">
        <v>25</v>
      </c>
      <c r="F185" s="22" t="s">
        <v>231</v>
      </c>
      <c r="G185" s="22">
        <v>1.0</v>
      </c>
    </row>
    <row r="186" ht="22.5" customHeight="1">
      <c r="A186" s="15">
        <v>46240.0</v>
      </c>
      <c r="B186" s="16">
        <v>1104.0</v>
      </c>
      <c r="C186" s="20" t="s">
        <v>419</v>
      </c>
      <c r="D186" s="20" t="s">
        <v>25</v>
      </c>
      <c r="E186" s="22" t="s">
        <v>25</v>
      </c>
      <c r="F186" s="20" t="s">
        <v>83</v>
      </c>
      <c r="G186" s="22">
        <v>1.0</v>
      </c>
    </row>
    <row r="187" ht="22.5" customHeight="1">
      <c r="A187" s="15">
        <v>46240.0</v>
      </c>
      <c r="B187" s="16">
        <v>1105.0</v>
      </c>
      <c r="C187" s="20" t="s">
        <v>420</v>
      </c>
      <c r="D187" s="20" t="s">
        <v>47</v>
      </c>
      <c r="E187" s="22" t="s">
        <v>216</v>
      </c>
      <c r="F187" s="22" t="s">
        <v>61</v>
      </c>
      <c r="G187" s="22">
        <v>1.0</v>
      </c>
    </row>
    <row r="188" ht="22.5" customHeight="1">
      <c r="A188" s="38">
        <v>46241.0</v>
      </c>
      <c r="B188" s="16">
        <v>1103.0</v>
      </c>
      <c r="C188" s="30" t="s">
        <v>418</v>
      </c>
      <c r="D188" s="30" t="s">
        <v>42</v>
      </c>
      <c r="E188" s="22" t="s">
        <v>216</v>
      </c>
      <c r="F188" s="22" t="s">
        <v>61</v>
      </c>
      <c r="G188" s="46">
        <v>1.0</v>
      </c>
    </row>
    <row r="189" ht="22.5" customHeight="1">
      <c r="A189" s="15">
        <v>46241.0</v>
      </c>
      <c r="B189" s="16">
        <v>1103.0</v>
      </c>
      <c r="C189" s="30" t="s">
        <v>418</v>
      </c>
      <c r="D189" s="30" t="s">
        <v>42</v>
      </c>
      <c r="E189" s="22" t="s">
        <v>216</v>
      </c>
      <c r="F189" s="20" t="s">
        <v>58</v>
      </c>
      <c r="G189" s="22">
        <v>4.0</v>
      </c>
    </row>
    <row r="190" ht="22.5" customHeight="1">
      <c r="A190" s="15">
        <v>46241.0</v>
      </c>
      <c r="B190" s="16">
        <v>1103.0</v>
      </c>
      <c r="C190" s="30" t="s">
        <v>418</v>
      </c>
      <c r="D190" s="30" t="s">
        <v>42</v>
      </c>
      <c r="E190" s="22" t="s">
        <v>216</v>
      </c>
      <c r="F190" s="20" t="s">
        <v>22</v>
      </c>
      <c r="G190" s="22">
        <v>4.0</v>
      </c>
    </row>
    <row r="191" ht="22.5" customHeight="1">
      <c r="A191" s="38">
        <v>46241.0</v>
      </c>
      <c r="B191" s="16">
        <v>1098.0</v>
      </c>
      <c r="C191" s="20" t="s">
        <v>413</v>
      </c>
      <c r="D191" s="20" t="s">
        <v>42</v>
      </c>
      <c r="E191" s="22" t="s">
        <v>216</v>
      </c>
      <c r="F191" s="20" t="s">
        <v>232</v>
      </c>
      <c r="G191" s="22">
        <v>1.0</v>
      </c>
    </row>
    <row r="192" ht="22.5" customHeight="1">
      <c r="A192" s="15">
        <v>46244.0</v>
      </c>
      <c r="B192" s="16">
        <v>1106.0</v>
      </c>
      <c r="C192" s="20" t="s">
        <v>421</v>
      </c>
      <c r="D192" s="20" t="s">
        <v>8</v>
      </c>
      <c r="E192" s="22" t="s">
        <v>8</v>
      </c>
      <c r="F192" s="22" t="s">
        <v>61</v>
      </c>
      <c r="G192" s="22">
        <v>1.0</v>
      </c>
    </row>
    <row r="193" ht="22.5" customHeight="1">
      <c r="A193" s="15">
        <v>46244.0</v>
      </c>
      <c r="B193" s="16">
        <v>1106.0</v>
      </c>
      <c r="C193" s="20" t="s">
        <v>421</v>
      </c>
      <c r="D193" s="20" t="s">
        <v>8</v>
      </c>
      <c r="E193" s="22" t="s">
        <v>8</v>
      </c>
      <c r="F193" s="20" t="s">
        <v>22</v>
      </c>
      <c r="G193" s="22">
        <v>1.0</v>
      </c>
    </row>
    <row r="194" ht="22.5" customHeight="1">
      <c r="A194" s="15">
        <v>46244.0</v>
      </c>
      <c r="B194" s="16">
        <v>1107.0</v>
      </c>
      <c r="C194" s="20" t="s">
        <v>422</v>
      </c>
      <c r="D194" s="20" t="s">
        <v>25</v>
      </c>
      <c r="E194" s="22" t="s">
        <v>25</v>
      </c>
      <c r="F194" s="20" t="s">
        <v>83</v>
      </c>
      <c r="G194" s="22">
        <v>1.0</v>
      </c>
    </row>
    <row r="195" ht="22.5" customHeight="1">
      <c r="A195" s="15">
        <v>46245.0</v>
      </c>
      <c r="B195" s="16">
        <v>1108.0</v>
      </c>
      <c r="C195" s="20" t="s">
        <v>423</v>
      </c>
      <c r="D195" s="20" t="s">
        <v>42</v>
      </c>
      <c r="E195" s="22" t="s">
        <v>216</v>
      </c>
      <c r="F195" s="20" t="s">
        <v>106</v>
      </c>
      <c r="G195" s="22">
        <v>2.0</v>
      </c>
    </row>
    <row r="196" ht="22.5" customHeight="1">
      <c r="A196" s="15">
        <v>46245.0</v>
      </c>
      <c r="B196" s="36">
        <v>1143.0</v>
      </c>
      <c r="C196" s="20"/>
      <c r="D196" s="30" t="s">
        <v>125</v>
      </c>
      <c r="E196" s="22" t="s">
        <v>219</v>
      </c>
      <c r="F196" s="20" t="s">
        <v>58</v>
      </c>
      <c r="G196" s="22">
        <v>1.0</v>
      </c>
    </row>
    <row r="197" ht="22.5" customHeight="1">
      <c r="A197" s="15">
        <v>46245.0</v>
      </c>
      <c r="B197" s="36">
        <v>1143.0</v>
      </c>
      <c r="C197" s="20"/>
      <c r="D197" s="30" t="s">
        <v>125</v>
      </c>
      <c r="E197" s="22" t="s">
        <v>219</v>
      </c>
      <c r="F197" s="20" t="s">
        <v>106</v>
      </c>
      <c r="G197" s="22">
        <v>2.0</v>
      </c>
    </row>
    <row r="198" ht="22.5" customHeight="1">
      <c r="A198" s="15">
        <v>46245.0</v>
      </c>
      <c r="B198" s="16">
        <v>1109.0</v>
      </c>
      <c r="C198" s="20" t="s">
        <v>424</v>
      </c>
      <c r="D198" s="20" t="s">
        <v>8</v>
      </c>
      <c r="E198" s="22" t="s">
        <v>8</v>
      </c>
      <c r="F198" s="20" t="s">
        <v>22</v>
      </c>
      <c r="G198" s="22">
        <v>2.0</v>
      </c>
    </row>
    <row r="199" ht="22.5" customHeight="1">
      <c r="A199" s="15">
        <v>46246.0</v>
      </c>
      <c r="B199" s="16">
        <v>1110.0</v>
      </c>
      <c r="C199" s="20" t="s">
        <v>425</v>
      </c>
      <c r="D199" s="20" t="s">
        <v>33</v>
      </c>
      <c r="E199" s="22" t="s">
        <v>227</v>
      </c>
      <c r="F199" s="22" t="s">
        <v>231</v>
      </c>
      <c r="G199" s="22">
        <v>1.0</v>
      </c>
    </row>
    <row r="200" ht="22.5" customHeight="1">
      <c r="A200" s="15">
        <v>46246.0</v>
      </c>
      <c r="B200" s="16">
        <v>1111.0</v>
      </c>
      <c r="C200" s="20" t="s">
        <v>426</v>
      </c>
      <c r="D200" s="20" t="s">
        <v>8</v>
      </c>
      <c r="E200" s="22" t="s">
        <v>8</v>
      </c>
      <c r="F200" s="20" t="s">
        <v>58</v>
      </c>
      <c r="G200" s="22">
        <v>1.0</v>
      </c>
    </row>
    <row r="201" ht="22.5" customHeight="1">
      <c r="A201" s="15">
        <v>46246.0</v>
      </c>
      <c r="B201" s="16">
        <v>1111.0</v>
      </c>
      <c r="C201" s="20" t="s">
        <v>426</v>
      </c>
      <c r="D201" s="20" t="s">
        <v>8</v>
      </c>
      <c r="E201" s="22" t="s">
        <v>8</v>
      </c>
      <c r="F201" s="22" t="s">
        <v>61</v>
      </c>
      <c r="G201" s="22">
        <v>1.0</v>
      </c>
    </row>
    <row r="202" ht="22.5" customHeight="1">
      <c r="A202" s="15">
        <v>46246.0</v>
      </c>
      <c r="B202" s="16">
        <v>1112.0</v>
      </c>
      <c r="C202" s="20" t="s">
        <v>427</v>
      </c>
      <c r="D202" s="20" t="s">
        <v>492</v>
      </c>
      <c r="E202" s="22" t="s">
        <v>25</v>
      </c>
      <c r="F202" s="20" t="s">
        <v>22</v>
      </c>
      <c r="G202" s="22">
        <v>1.0</v>
      </c>
    </row>
    <row r="203" ht="22.5" customHeight="1">
      <c r="A203" s="15">
        <v>46246.0</v>
      </c>
      <c r="B203" s="16">
        <v>1113.0</v>
      </c>
      <c r="C203" s="20" t="s">
        <v>428</v>
      </c>
      <c r="D203" s="20" t="s">
        <v>25</v>
      </c>
      <c r="E203" s="22" t="s">
        <v>25</v>
      </c>
      <c r="F203" s="22" t="s">
        <v>249</v>
      </c>
      <c r="G203" s="22">
        <v>1.0</v>
      </c>
    </row>
    <row r="204" ht="22.5" customHeight="1">
      <c r="A204" s="15">
        <v>46246.0</v>
      </c>
      <c r="B204" s="16">
        <v>1105.0</v>
      </c>
      <c r="C204" s="20" t="s">
        <v>420</v>
      </c>
      <c r="D204" s="20" t="s">
        <v>47</v>
      </c>
      <c r="E204" s="22" t="s">
        <v>216</v>
      </c>
      <c r="F204" s="20" t="s">
        <v>83</v>
      </c>
      <c r="G204" s="22">
        <v>1.0</v>
      </c>
    </row>
    <row r="205" ht="22.5" customHeight="1">
      <c r="A205" s="15">
        <v>46246.0</v>
      </c>
      <c r="B205" s="16">
        <v>1105.0</v>
      </c>
      <c r="C205" s="20" t="s">
        <v>420</v>
      </c>
      <c r="D205" s="20" t="s">
        <v>47</v>
      </c>
      <c r="E205" s="22" t="s">
        <v>216</v>
      </c>
      <c r="F205" s="22" t="s">
        <v>61</v>
      </c>
      <c r="G205" s="22">
        <v>1.0</v>
      </c>
    </row>
    <row r="206" ht="22.5" customHeight="1">
      <c r="A206" s="15">
        <v>46246.0</v>
      </c>
      <c r="B206" s="16">
        <v>1105.0</v>
      </c>
      <c r="C206" s="20" t="s">
        <v>420</v>
      </c>
      <c r="D206" s="20" t="s">
        <v>47</v>
      </c>
      <c r="E206" s="22" t="s">
        <v>216</v>
      </c>
      <c r="F206" s="20" t="s">
        <v>57</v>
      </c>
      <c r="G206" s="22">
        <v>1.0</v>
      </c>
    </row>
    <row r="207" ht="22.5" customHeight="1">
      <c r="A207" s="15">
        <v>46247.0</v>
      </c>
      <c r="B207" s="16">
        <v>1112.0</v>
      </c>
      <c r="C207" s="20" t="s">
        <v>427</v>
      </c>
      <c r="D207" s="20" t="s">
        <v>25</v>
      </c>
      <c r="E207" s="22" t="s">
        <v>25</v>
      </c>
      <c r="F207" s="20" t="s">
        <v>58</v>
      </c>
      <c r="G207" s="22">
        <v>1.0</v>
      </c>
    </row>
    <row r="208" ht="22.5" customHeight="1">
      <c r="A208" s="15">
        <v>46247.0</v>
      </c>
      <c r="B208" s="16">
        <v>1112.0</v>
      </c>
      <c r="C208" s="20" t="s">
        <v>427</v>
      </c>
      <c r="D208" s="20" t="s">
        <v>25</v>
      </c>
      <c r="E208" s="22" t="s">
        <v>25</v>
      </c>
      <c r="F208" s="20" t="s">
        <v>81</v>
      </c>
      <c r="G208" s="22">
        <v>1.0</v>
      </c>
    </row>
    <row r="209" ht="22.5" customHeight="1">
      <c r="A209" s="15">
        <v>46247.0</v>
      </c>
      <c r="B209" s="36">
        <v>1112.0</v>
      </c>
      <c r="C209" s="30" t="s">
        <v>427</v>
      </c>
      <c r="D209" s="20" t="s">
        <v>25</v>
      </c>
      <c r="E209" s="22" t="s">
        <v>25</v>
      </c>
      <c r="F209" s="20" t="s">
        <v>36</v>
      </c>
      <c r="G209" s="22">
        <v>1.0</v>
      </c>
    </row>
    <row r="210" ht="22.5" customHeight="1">
      <c r="A210" s="15">
        <v>46251.0</v>
      </c>
      <c r="B210" s="16">
        <v>1114.0</v>
      </c>
      <c r="C210" s="20" t="s">
        <v>429</v>
      </c>
      <c r="D210" s="20" t="s">
        <v>42</v>
      </c>
      <c r="E210" s="22" t="s">
        <v>216</v>
      </c>
      <c r="F210" s="22" t="s">
        <v>61</v>
      </c>
      <c r="G210" s="22">
        <v>2.0</v>
      </c>
    </row>
    <row r="211" ht="22.5" customHeight="1">
      <c r="A211" s="15">
        <v>46251.0</v>
      </c>
      <c r="B211" s="16">
        <v>1115.0</v>
      </c>
      <c r="C211" s="20" t="s">
        <v>430</v>
      </c>
      <c r="D211" s="20" t="s">
        <v>493</v>
      </c>
      <c r="E211" s="22" t="s">
        <v>25</v>
      </c>
      <c r="F211" s="20" t="s">
        <v>81</v>
      </c>
      <c r="G211" s="22">
        <v>2.0</v>
      </c>
    </row>
    <row r="212" ht="22.5" customHeight="1">
      <c r="A212" s="15">
        <v>46251.0</v>
      </c>
      <c r="B212" s="16">
        <v>1116.0</v>
      </c>
      <c r="C212" s="20" t="s">
        <v>431</v>
      </c>
      <c r="D212" s="20" t="s">
        <v>494</v>
      </c>
      <c r="E212" s="22" t="s">
        <v>25</v>
      </c>
      <c r="F212" s="20" t="s">
        <v>83</v>
      </c>
      <c r="G212" s="22">
        <v>1.0</v>
      </c>
    </row>
    <row r="213" ht="22.5" customHeight="1">
      <c r="A213" s="15">
        <v>46254.0</v>
      </c>
      <c r="B213" s="16">
        <v>1105.0</v>
      </c>
      <c r="C213" s="20" t="s">
        <v>420</v>
      </c>
      <c r="D213" s="20" t="s">
        <v>47</v>
      </c>
      <c r="E213" s="22" t="s">
        <v>216</v>
      </c>
      <c r="F213" s="20" t="s">
        <v>232</v>
      </c>
      <c r="G213" s="22">
        <v>1.0</v>
      </c>
    </row>
    <row r="214" ht="22.5" customHeight="1">
      <c r="A214" s="15">
        <v>46254.0</v>
      </c>
      <c r="B214" s="16">
        <v>1117.0</v>
      </c>
      <c r="C214" s="20" t="s">
        <v>432</v>
      </c>
      <c r="D214" s="20" t="s">
        <v>47</v>
      </c>
      <c r="E214" s="22" t="s">
        <v>216</v>
      </c>
      <c r="F214" s="20" t="s">
        <v>83</v>
      </c>
      <c r="G214" s="22">
        <v>1.0</v>
      </c>
    </row>
    <row r="215" ht="22.5" customHeight="1">
      <c r="A215" s="15">
        <v>46254.0</v>
      </c>
      <c r="B215" s="36">
        <v>1117.0</v>
      </c>
      <c r="C215" s="30" t="s">
        <v>432</v>
      </c>
      <c r="D215" s="20" t="s">
        <v>47</v>
      </c>
      <c r="E215" s="22" t="s">
        <v>216</v>
      </c>
      <c r="F215" s="22" t="s">
        <v>231</v>
      </c>
      <c r="G215" s="22">
        <v>1.0</v>
      </c>
    </row>
    <row r="216" ht="22.5" customHeight="1">
      <c r="A216" s="15">
        <v>46258.0</v>
      </c>
      <c r="B216" s="16">
        <v>1118.0</v>
      </c>
      <c r="C216" s="20" t="s">
        <v>433</v>
      </c>
      <c r="D216" s="20" t="s">
        <v>42</v>
      </c>
      <c r="E216" s="22" t="s">
        <v>216</v>
      </c>
      <c r="F216" s="22" t="s">
        <v>61</v>
      </c>
      <c r="G216" s="22">
        <v>1.0</v>
      </c>
    </row>
    <row r="217" ht="22.5" customHeight="1">
      <c r="A217" s="15">
        <v>46258.0</v>
      </c>
      <c r="B217" s="16">
        <v>1119.0</v>
      </c>
      <c r="C217" s="20" t="s">
        <v>434</v>
      </c>
      <c r="D217" s="20" t="s">
        <v>495</v>
      </c>
      <c r="E217" s="22" t="s">
        <v>25</v>
      </c>
      <c r="F217" s="20" t="s">
        <v>57</v>
      </c>
      <c r="G217" s="22">
        <v>1.0</v>
      </c>
    </row>
    <row r="218" ht="22.5" customHeight="1">
      <c r="A218" s="15">
        <v>46258.0</v>
      </c>
      <c r="B218" s="36">
        <v>1112.0</v>
      </c>
      <c r="C218" s="30" t="s">
        <v>427</v>
      </c>
      <c r="D218" s="20" t="s">
        <v>25</v>
      </c>
      <c r="E218" s="22" t="s">
        <v>25</v>
      </c>
      <c r="F218" s="20" t="s">
        <v>106</v>
      </c>
      <c r="G218" s="22">
        <v>1.0</v>
      </c>
    </row>
    <row r="219" ht="22.5" customHeight="1">
      <c r="A219" s="15">
        <v>46258.0</v>
      </c>
      <c r="B219" s="16">
        <v>1120.0</v>
      </c>
      <c r="C219" s="20" t="s">
        <v>435</v>
      </c>
      <c r="D219" s="20" t="s">
        <v>25</v>
      </c>
      <c r="E219" s="22" t="s">
        <v>25</v>
      </c>
      <c r="F219" s="20" t="s">
        <v>179</v>
      </c>
      <c r="G219" s="22">
        <v>1.0</v>
      </c>
    </row>
    <row r="220" ht="22.5" customHeight="1">
      <c r="A220" s="15">
        <v>46258.0</v>
      </c>
      <c r="B220" s="36">
        <v>1118.0</v>
      </c>
      <c r="C220" s="30" t="s">
        <v>433</v>
      </c>
      <c r="D220" s="30" t="s">
        <v>42</v>
      </c>
      <c r="E220" s="22" t="s">
        <v>216</v>
      </c>
      <c r="F220" s="20" t="s">
        <v>36</v>
      </c>
      <c r="G220" s="22">
        <v>1.0</v>
      </c>
    </row>
    <row r="221" ht="22.5" customHeight="1">
      <c r="A221" s="15">
        <v>46258.0</v>
      </c>
      <c r="B221" s="36">
        <v>1118.0</v>
      </c>
      <c r="C221" s="30" t="s">
        <v>433</v>
      </c>
      <c r="D221" s="30" t="s">
        <v>42</v>
      </c>
      <c r="E221" s="22" t="s">
        <v>216</v>
      </c>
      <c r="F221" s="20" t="s">
        <v>232</v>
      </c>
      <c r="G221" s="22">
        <v>1.0</v>
      </c>
    </row>
    <row r="222" ht="22.5" customHeight="1">
      <c r="A222" s="15">
        <v>46258.0</v>
      </c>
      <c r="B222" s="36">
        <v>1112.0</v>
      </c>
      <c r="C222" s="30" t="s">
        <v>427</v>
      </c>
      <c r="D222" s="30" t="s">
        <v>25</v>
      </c>
      <c r="E222" s="22" t="s">
        <v>25</v>
      </c>
      <c r="F222" s="20" t="s">
        <v>81</v>
      </c>
      <c r="G222" s="22">
        <v>1.0</v>
      </c>
    </row>
    <row r="223" ht="22.5" customHeight="1">
      <c r="A223" s="15">
        <v>46258.0</v>
      </c>
      <c r="B223" s="36">
        <v>1112.0</v>
      </c>
      <c r="C223" s="30" t="s">
        <v>427</v>
      </c>
      <c r="D223" s="30" t="s">
        <v>25</v>
      </c>
      <c r="E223" s="22" t="s">
        <v>25</v>
      </c>
      <c r="F223" s="20" t="s">
        <v>83</v>
      </c>
      <c r="G223" s="22">
        <v>1.0</v>
      </c>
    </row>
    <row r="224" ht="15.75" customHeight="1">
      <c r="A224" s="15">
        <v>46259.0</v>
      </c>
      <c r="B224" s="16">
        <v>1121.0</v>
      </c>
      <c r="C224" s="20" t="s">
        <v>292</v>
      </c>
      <c r="D224" s="20" t="s">
        <v>92</v>
      </c>
      <c r="E224" s="22" t="s">
        <v>25</v>
      </c>
      <c r="F224" s="20" t="s">
        <v>250</v>
      </c>
      <c r="G224" s="22">
        <v>1.0</v>
      </c>
    </row>
    <row r="225" ht="15.75" customHeight="1">
      <c r="A225" s="15">
        <v>46260.0</v>
      </c>
      <c r="B225" s="16">
        <v>1122.0</v>
      </c>
      <c r="C225" s="20" t="s">
        <v>293</v>
      </c>
      <c r="D225" s="20" t="s">
        <v>47</v>
      </c>
      <c r="E225" s="22" t="s">
        <v>216</v>
      </c>
      <c r="F225" s="20" t="s">
        <v>83</v>
      </c>
      <c r="G225" s="22">
        <v>2.0</v>
      </c>
    </row>
    <row r="226" ht="15.75" customHeight="1">
      <c r="A226" s="15">
        <v>46260.0</v>
      </c>
      <c r="B226" s="16">
        <v>1123.0</v>
      </c>
      <c r="C226" s="20" t="s">
        <v>294</v>
      </c>
      <c r="D226" s="20" t="s">
        <v>8</v>
      </c>
      <c r="E226" s="22" t="s">
        <v>8</v>
      </c>
      <c r="F226" s="20" t="s">
        <v>22</v>
      </c>
      <c r="G226" s="22">
        <v>1.0</v>
      </c>
    </row>
    <row r="227" ht="15.75" customHeight="1">
      <c r="A227" s="15">
        <v>46260.0</v>
      </c>
      <c r="B227" s="16">
        <v>1123.0</v>
      </c>
      <c r="C227" s="20" t="s">
        <v>294</v>
      </c>
      <c r="D227" s="20" t="s">
        <v>8</v>
      </c>
      <c r="E227" s="22" t="s">
        <v>8</v>
      </c>
      <c r="F227" s="20" t="s">
        <v>97</v>
      </c>
      <c r="G227" s="22">
        <v>1.0</v>
      </c>
    </row>
    <row r="228" ht="15.75" customHeight="1">
      <c r="A228" s="15">
        <v>46260.0</v>
      </c>
      <c r="B228" s="16">
        <v>1124.0</v>
      </c>
      <c r="C228" s="20" t="s">
        <v>295</v>
      </c>
      <c r="D228" s="20" t="s">
        <v>92</v>
      </c>
      <c r="E228" s="22" t="s">
        <v>92</v>
      </c>
      <c r="F228" s="20" t="s">
        <v>251</v>
      </c>
      <c r="G228" s="22">
        <v>1.0</v>
      </c>
    </row>
    <row r="229" ht="15.75" customHeight="1">
      <c r="A229" s="15">
        <v>46261.0</v>
      </c>
      <c r="B229" s="16">
        <v>1125.0</v>
      </c>
      <c r="C229" s="20" t="s">
        <v>297</v>
      </c>
      <c r="D229" s="20" t="s">
        <v>42</v>
      </c>
      <c r="E229" s="22" t="s">
        <v>216</v>
      </c>
      <c r="F229" s="20" t="s">
        <v>253</v>
      </c>
      <c r="G229" s="22">
        <v>1.0</v>
      </c>
    </row>
    <row r="230" ht="15.75" customHeight="1">
      <c r="A230" s="15">
        <v>46261.0</v>
      </c>
      <c r="B230" s="16">
        <v>1125.0</v>
      </c>
      <c r="C230" s="20" t="s">
        <v>297</v>
      </c>
      <c r="D230" s="20" t="s">
        <v>42</v>
      </c>
      <c r="E230" s="22" t="s">
        <v>216</v>
      </c>
      <c r="F230" s="20" t="s">
        <v>254</v>
      </c>
      <c r="G230" s="22">
        <v>1.0</v>
      </c>
    </row>
    <row r="231" ht="15.75" customHeight="1">
      <c r="A231" s="15">
        <v>46261.0</v>
      </c>
      <c r="B231" s="16">
        <v>1126.0</v>
      </c>
      <c r="C231" s="20" t="s">
        <v>298</v>
      </c>
      <c r="D231" s="20" t="s">
        <v>42</v>
      </c>
      <c r="E231" s="22" t="s">
        <v>216</v>
      </c>
      <c r="F231" s="20" t="s">
        <v>255</v>
      </c>
      <c r="G231" s="22">
        <v>1.0</v>
      </c>
    </row>
    <row r="232" ht="15.75" customHeight="1">
      <c r="A232" s="15">
        <v>46262.0</v>
      </c>
      <c r="B232" s="16">
        <v>1126.0</v>
      </c>
      <c r="C232" s="20" t="s">
        <v>298</v>
      </c>
      <c r="D232" s="20" t="s">
        <v>42</v>
      </c>
      <c r="E232" s="22" t="s">
        <v>216</v>
      </c>
      <c r="F232" s="20" t="s">
        <v>255</v>
      </c>
      <c r="G232" s="22">
        <v>1.0</v>
      </c>
    </row>
    <row r="233" ht="15.75" customHeight="1">
      <c r="A233" s="15">
        <v>46265.0</v>
      </c>
      <c r="B233" s="16">
        <v>1127.0</v>
      </c>
      <c r="C233" s="20" t="s">
        <v>299</v>
      </c>
      <c r="D233" s="20" t="s">
        <v>300</v>
      </c>
      <c r="E233" s="22" t="s">
        <v>25</v>
      </c>
      <c r="F233" s="20" t="s">
        <v>61</v>
      </c>
      <c r="G233" s="22">
        <v>1.0</v>
      </c>
    </row>
    <row r="234" ht="15.75" customHeight="1">
      <c r="A234" s="15">
        <v>46265.0</v>
      </c>
      <c r="B234" s="16">
        <v>1127.0</v>
      </c>
      <c r="C234" s="20" t="s">
        <v>299</v>
      </c>
      <c r="D234" s="20" t="s">
        <v>300</v>
      </c>
      <c r="E234" s="22" t="s">
        <v>25</v>
      </c>
      <c r="F234" s="20" t="s">
        <v>257</v>
      </c>
      <c r="G234" s="22">
        <v>1.0</v>
      </c>
    </row>
    <row r="235" ht="15.75" customHeight="1">
      <c r="A235" s="15">
        <v>46265.0</v>
      </c>
      <c r="B235" s="16">
        <v>1128.0</v>
      </c>
      <c r="C235" s="20" t="s">
        <v>301</v>
      </c>
      <c r="D235" s="20" t="s">
        <v>300</v>
      </c>
      <c r="E235" s="22" t="s">
        <v>25</v>
      </c>
      <c r="F235" s="20" t="s">
        <v>259</v>
      </c>
      <c r="G235" s="22">
        <v>2.0</v>
      </c>
    </row>
    <row r="236" ht="15.75" customHeight="1">
      <c r="A236" s="15">
        <v>46265.0</v>
      </c>
      <c r="B236" s="16">
        <v>1128.0</v>
      </c>
      <c r="C236" s="20" t="s">
        <v>301</v>
      </c>
      <c r="D236" s="20" t="s">
        <v>300</v>
      </c>
      <c r="E236" s="22" t="s">
        <v>25</v>
      </c>
      <c r="F236" s="20" t="s">
        <v>97</v>
      </c>
      <c r="G236" s="22">
        <v>2.0</v>
      </c>
    </row>
    <row r="237" ht="15.75" customHeight="1">
      <c r="A237" s="15">
        <v>46265.0</v>
      </c>
      <c r="B237" s="16">
        <v>1128.0</v>
      </c>
      <c r="C237" s="20" t="s">
        <v>301</v>
      </c>
      <c r="D237" s="20" t="s">
        <v>300</v>
      </c>
      <c r="E237" s="22" t="s">
        <v>25</v>
      </c>
      <c r="F237" s="20" t="s">
        <v>83</v>
      </c>
      <c r="G237" s="22">
        <v>1.0</v>
      </c>
    </row>
    <row r="238" ht="15.75" customHeight="1">
      <c r="A238" s="15">
        <v>46265.0</v>
      </c>
      <c r="B238" s="16">
        <v>1128.0</v>
      </c>
      <c r="C238" s="20" t="s">
        <v>301</v>
      </c>
      <c r="D238" s="20" t="s">
        <v>300</v>
      </c>
      <c r="E238" s="22" t="s">
        <v>25</v>
      </c>
      <c r="F238" s="20" t="s">
        <v>178</v>
      </c>
      <c r="G238" s="22">
        <v>2.0</v>
      </c>
    </row>
    <row r="239" ht="15.75" customHeight="1">
      <c r="A239" s="47"/>
    </row>
    <row r="240" ht="15.75" customHeight="1">
      <c r="A240" s="47"/>
    </row>
    <row r="241" ht="15.75" customHeight="1">
      <c r="A241" s="47"/>
    </row>
    <row r="242" ht="15.75" customHeight="1">
      <c r="A242" s="47"/>
    </row>
    <row r="243" ht="15.75" customHeight="1">
      <c r="A243" s="47"/>
    </row>
    <row r="244" ht="15.75" customHeight="1">
      <c r="A244" s="47"/>
    </row>
    <row r="245" ht="15.75" customHeight="1">
      <c r="A245" s="47"/>
    </row>
    <row r="246" ht="15.75" customHeight="1">
      <c r="A246" s="47"/>
    </row>
    <row r="247" ht="15.75" customHeight="1">
      <c r="A247" s="47"/>
    </row>
    <row r="248" ht="15.75" customHeight="1">
      <c r="A248" s="47"/>
    </row>
    <row r="249" ht="15.75" customHeight="1">
      <c r="A249" s="47"/>
    </row>
    <row r="250" ht="15.75" customHeight="1">
      <c r="A250" s="47"/>
    </row>
    <row r="251" ht="15.75" customHeight="1">
      <c r="A251" s="47"/>
    </row>
    <row r="252" ht="15.75" customHeight="1">
      <c r="A252" s="47"/>
    </row>
    <row r="253" ht="15.75" customHeight="1">
      <c r="A253" s="47"/>
    </row>
    <row r="254" ht="15.75" customHeight="1">
      <c r="A254" s="47"/>
    </row>
    <row r="255" ht="15.75" customHeight="1">
      <c r="A255" s="47"/>
    </row>
    <row r="256" ht="15.75" customHeight="1">
      <c r="A256" s="47"/>
    </row>
    <row r="257" ht="15.75" customHeight="1">
      <c r="A257" s="47"/>
    </row>
    <row r="258" ht="15.75" customHeight="1">
      <c r="A258" s="47"/>
    </row>
    <row r="259" ht="15.75" customHeight="1">
      <c r="A259" s="47"/>
    </row>
    <row r="260" ht="15.75" customHeight="1">
      <c r="A260" s="47"/>
    </row>
    <row r="261" ht="15.75" customHeight="1">
      <c r="A261" s="47"/>
    </row>
    <row r="262" ht="15.75" customHeight="1">
      <c r="A262" s="47"/>
    </row>
    <row r="263" ht="15.75" customHeight="1">
      <c r="A263" s="47"/>
    </row>
    <row r="264" ht="15.75" customHeight="1">
      <c r="A264" s="47"/>
    </row>
    <row r="265" ht="15.75" customHeight="1">
      <c r="A265" s="47"/>
    </row>
    <row r="266" ht="15.75" customHeight="1">
      <c r="A266" s="47"/>
    </row>
    <row r="267" ht="15.75" customHeight="1">
      <c r="A267" s="47"/>
    </row>
    <row r="268" ht="15.75" customHeight="1">
      <c r="A268" s="47"/>
    </row>
    <row r="269" ht="15.75" customHeight="1">
      <c r="A269" s="47"/>
    </row>
    <row r="270" ht="15.75" customHeight="1">
      <c r="A270" s="47"/>
    </row>
    <row r="271" ht="15.75" customHeight="1">
      <c r="A271" s="47"/>
    </row>
    <row r="272" ht="15.75" customHeight="1">
      <c r="A272" s="47"/>
    </row>
    <row r="273" ht="15.75" customHeight="1">
      <c r="A273" s="47"/>
    </row>
    <row r="274" ht="15.75" customHeight="1">
      <c r="A274" s="47"/>
    </row>
    <row r="275" ht="15.75" customHeight="1">
      <c r="A275" s="47"/>
    </row>
    <row r="276" ht="15.75" customHeight="1">
      <c r="A276" s="47"/>
    </row>
    <row r="277" ht="15.75" customHeight="1">
      <c r="A277" s="47"/>
    </row>
    <row r="278" ht="15.75" customHeight="1">
      <c r="A278" s="47"/>
    </row>
    <row r="279" ht="15.75" customHeight="1">
      <c r="A279" s="47"/>
    </row>
    <row r="280" ht="15.75" customHeight="1">
      <c r="A280" s="47"/>
    </row>
    <row r="281" ht="15.75" customHeight="1">
      <c r="A281" s="47"/>
    </row>
    <row r="282" ht="15.75" customHeight="1">
      <c r="A282" s="47"/>
    </row>
    <row r="283" ht="15.75" customHeight="1">
      <c r="A283" s="47"/>
    </row>
    <row r="284" ht="15.75" customHeight="1">
      <c r="A284" s="47"/>
    </row>
    <row r="285" ht="15.75" customHeight="1">
      <c r="A285" s="47"/>
    </row>
    <row r="286" ht="15.75" customHeight="1">
      <c r="A286" s="47"/>
    </row>
    <row r="287" ht="15.75" customHeight="1">
      <c r="A287" s="47"/>
    </row>
    <row r="288" ht="15.75" customHeight="1">
      <c r="A288" s="47"/>
    </row>
    <row r="289" ht="15.75" customHeight="1">
      <c r="A289" s="47"/>
    </row>
    <row r="290" ht="15.75" customHeight="1">
      <c r="A290" s="47"/>
    </row>
    <row r="291" ht="15.75" customHeight="1">
      <c r="A291" s="47"/>
    </row>
    <row r="292" ht="15.75" customHeight="1">
      <c r="A292" s="47"/>
    </row>
    <row r="293" ht="15.75" customHeight="1">
      <c r="A293" s="47"/>
    </row>
    <row r="294" ht="15.75" customHeight="1">
      <c r="A294" s="47"/>
    </row>
    <row r="295" ht="15.75" customHeight="1">
      <c r="A295" s="47"/>
    </row>
    <row r="296" ht="15.75" customHeight="1">
      <c r="A296" s="47"/>
    </row>
    <row r="297" ht="15.75" customHeight="1">
      <c r="A297" s="47"/>
    </row>
    <row r="298" ht="15.75" customHeight="1">
      <c r="A298" s="47"/>
    </row>
    <row r="299" ht="15.75" customHeight="1">
      <c r="A299" s="47"/>
    </row>
    <row r="300" ht="15.75" customHeight="1">
      <c r="A300" s="47"/>
    </row>
    <row r="301" ht="15.75" customHeight="1">
      <c r="A301" s="47"/>
    </row>
    <row r="302" ht="15.75" customHeight="1">
      <c r="A302" s="47"/>
    </row>
    <row r="303" ht="15.75" customHeight="1">
      <c r="A303" s="47"/>
    </row>
    <row r="304" ht="15.75" customHeight="1">
      <c r="A304" s="47"/>
    </row>
    <row r="305" ht="15.75" customHeight="1">
      <c r="A305" s="47"/>
    </row>
    <row r="306" ht="15.75" customHeight="1">
      <c r="A306" s="47"/>
    </row>
    <row r="307" ht="15.75" customHeight="1">
      <c r="A307" s="47"/>
    </row>
    <row r="308" ht="15.75" customHeight="1">
      <c r="A308" s="47"/>
    </row>
    <row r="309" ht="15.75" customHeight="1">
      <c r="A309" s="47"/>
    </row>
    <row r="310" ht="15.75" customHeight="1">
      <c r="A310" s="47"/>
    </row>
    <row r="311" ht="15.75" customHeight="1">
      <c r="A311" s="47"/>
    </row>
    <row r="312" ht="15.75" customHeight="1">
      <c r="A312" s="47"/>
    </row>
    <row r="313" ht="15.75" customHeight="1">
      <c r="A313" s="47"/>
    </row>
    <row r="314" ht="15.75" customHeight="1">
      <c r="A314" s="47"/>
    </row>
    <row r="315" ht="15.75" customHeight="1">
      <c r="A315" s="47"/>
    </row>
    <row r="316" ht="15.75" customHeight="1">
      <c r="A316" s="47"/>
    </row>
    <row r="317" ht="15.75" customHeight="1">
      <c r="A317" s="47"/>
    </row>
    <row r="318" ht="15.75" customHeight="1">
      <c r="A318" s="47"/>
    </row>
    <row r="319" ht="15.75" customHeight="1">
      <c r="A319" s="47"/>
    </row>
    <row r="320" ht="15.75" customHeight="1">
      <c r="A320" s="47"/>
    </row>
    <row r="321" ht="15.75" customHeight="1">
      <c r="A321" s="47"/>
    </row>
    <row r="322" ht="15.75" customHeight="1">
      <c r="A322" s="47"/>
    </row>
    <row r="323" ht="15.75" customHeight="1">
      <c r="A323" s="47"/>
    </row>
    <row r="324" ht="15.75" customHeight="1">
      <c r="A324" s="47"/>
    </row>
    <row r="325" ht="15.75" customHeight="1">
      <c r="A325" s="47"/>
    </row>
    <row r="326" ht="15.75" customHeight="1">
      <c r="A326" s="47"/>
    </row>
    <row r="327" ht="15.75" customHeight="1">
      <c r="A327" s="47"/>
    </row>
    <row r="328" ht="15.75" customHeight="1">
      <c r="A328" s="47"/>
    </row>
    <row r="329" ht="15.75" customHeight="1">
      <c r="A329" s="47"/>
    </row>
    <row r="330" ht="15.75" customHeight="1">
      <c r="A330" s="47"/>
    </row>
    <row r="331" ht="15.75" customHeight="1">
      <c r="A331" s="47"/>
    </row>
    <row r="332" ht="15.75" customHeight="1">
      <c r="A332" s="47"/>
    </row>
    <row r="333" ht="15.75" customHeight="1">
      <c r="A333" s="47"/>
    </row>
    <row r="334" ht="15.75" customHeight="1">
      <c r="A334" s="47"/>
    </row>
    <row r="335" ht="15.75" customHeight="1">
      <c r="A335" s="47"/>
    </row>
    <row r="336" ht="15.75" customHeight="1">
      <c r="A336" s="47"/>
    </row>
    <row r="337" ht="15.75" customHeight="1">
      <c r="A337" s="47"/>
    </row>
    <row r="338" ht="15.75" customHeight="1">
      <c r="A338" s="47"/>
    </row>
    <row r="339" ht="15.75" customHeight="1">
      <c r="A339" s="47"/>
    </row>
    <row r="340" ht="15.75" customHeight="1">
      <c r="A340" s="47"/>
    </row>
    <row r="341" ht="15.75" customHeight="1">
      <c r="A341" s="47"/>
    </row>
    <row r="342" ht="15.75" customHeight="1">
      <c r="A342" s="47"/>
    </row>
    <row r="343" ht="15.75" customHeight="1">
      <c r="A343" s="47"/>
    </row>
    <row r="344" ht="15.75" customHeight="1">
      <c r="A344" s="47"/>
    </row>
    <row r="345" ht="15.75" customHeight="1">
      <c r="A345" s="47"/>
    </row>
    <row r="346" ht="15.75" customHeight="1">
      <c r="A346" s="47"/>
    </row>
    <row r="347" ht="15.75" customHeight="1">
      <c r="A347" s="47"/>
    </row>
    <row r="348" ht="15.75" customHeight="1">
      <c r="A348" s="47"/>
    </row>
    <row r="349" ht="15.75" customHeight="1">
      <c r="A349" s="47"/>
    </row>
    <row r="350" ht="15.75" customHeight="1">
      <c r="A350" s="47"/>
    </row>
    <row r="351" ht="15.75" customHeight="1">
      <c r="A351" s="47"/>
    </row>
    <row r="352" ht="15.75" customHeight="1">
      <c r="A352" s="47"/>
    </row>
    <row r="353" ht="15.75" customHeight="1">
      <c r="A353" s="47"/>
    </row>
    <row r="354" ht="15.75" customHeight="1">
      <c r="A354" s="47"/>
    </row>
    <row r="355" ht="15.75" customHeight="1">
      <c r="A355" s="47"/>
    </row>
    <row r="356" ht="15.75" customHeight="1">
      <c r="A356" s="47"/>
    </row>
    <row r="357" ht="15.75" customHeight="1">
      <c r="A357" s="47"/>
    </row>
    <row r="358" ht="15.75" customHeight="1">
      <c r="A358" s="47"/>
    </row>
    <row r="359" ht="15.75" customHeight="1">
      <c r="A359" s="47"/>
    </row>
    <row r="360" ht="15.75" customHeight="1">
      <c r="A360" s="47"/>
    </row>
    <row r="361" ht="15.75" customHeight="1">
      <c r="A361" s="47"/>
    </row>
    <row r="362" ht="15.75" customHeight="1">
      <c r="A362" s="47"/>
    </row>
    <row r="363" ht="15.75" customHeight="1">
      <c r="A363" s="47"/>
    </row>
    <row r="364" ht="15.75" customHeight="1">
      <c r="A364" s="47"/>
    </row>
    <row r="365" ht="15.75" customHeight="1">
      <c r="A365" s="47"/>
    </row>
    <row r="366" ht="15.75" customHeight="1">
      <c r="A366" s="47"/>
    </row>
    <row r="367" ht="15.75" customHeight="1">
      <c r="A367" s="47"/>
    </row>
    <row r="368" ht="15.75" customHeight="1">
      <c r="A368" s="47"/>
    </row>
    <row r="369" ht="15.75" customHeight="1">
      <c r="A369" s="47"/>
    </row>
    <row r="370" ht="15.75" customHeight="1">
      <c r="A370" s="47"/>
    </row>
    <row r="371" ht="15.75" customHeight="1">
      <c r="A371" s="47"/>
    </row>
    <row r="372" ht="15.75" customHeight="1">
      <c r="A372" s="47"/>
    </row>
    <row r="373" ht="15.75" customHeight="1">
      <c r="A373" s="47"/>
    </row>
    <row r="374" ht="15.75" customHeight="1">
      <c r="A374" s="47"/>
    </row>
    <row r="375" ht="15.75" customHeight="1">
      <c r="A375" s="47"/>
    </row>
    <row r="376" ht="15.75" customHeight="1">
      <c r="A376" s="47"/>
    </row>
    <row r="377" ht="15.75" customHeight="1">
      <c r="A377" s="47"/>
    </row>
    <row r="378" ht="15.75" customHeight="1">
      <c r="A378" s="47"/>
    </row>
    <row r="379" ht="15.75" customHeight="1">
      <c r="A379" s="47"/>
    </row>
    <row r="380" ht="15.75" customHeight="1">
      <c r="A380" s="47"/>
    </row>
    <row r="381" ht="15.75" customHeight="1">
      <c r="A381" s="47"/>
    </row>
    <row r="382" ht="15.75" customHeight="1">
      <c r="A382" s="47"/>
    </row>
    <row r="383" ht="15.75" customHeight="1">
      <c r="A383" s="47"/>
    </row>
    <row r="384" ht="15.75" customHeight="1">
      <c r="A384" s="47"/>
    </row>
    <row r="385" ht="15.75" customHeight="1">
      <c r="A385" s="47"/>
    </row>
    <row r="386" ht="15.75" customHeight="1">
      <c r="A386" s="47"/>
    </row>
    <row r="387" ht="15.75" customHeight="1">
      <c r="A387" s="47"/>
    </row>
    <row r="388" ht="15.75" customHeight="1">
      <c r="A388" s="47"/>
    </row>
    <row r="389" ht="15.75" customHeight="1">
      <c r="A389" s="47"/>
    </row>
    <row r="390" ht="15.75" customHeight="1">
      <c r="A390" s="47"/>
    </row>
    <row r="391" ht="15.75" customHeight="1">
      <c r="A391" s="47"/>
    </row>
    <row r="392" ht="15.75" customHeight="1">
      <c r="A392" s="47"/>
    </row>
    <row r="393" ht="15.75" customHeight="1">
      <c r="A393" s="47"/>
    </row>
    <row r="394" ht="15.75" customHeight="1">
      <c r="A394" s="47"/>
    </row>
    <row r="395" ht="15.75" customHeight="1">
      <c r="A395" s="47"/>
    </row>
    <row r="396" ht="15.75" customHeight="1">
      <c r="A396" s="47"/>
    </row>
    <row r="397" ht="15.75" customHeight="1">
      <c r="A397" s="47"/>
    </row>
    <row r="398" ht="15.75" customHeight="1">
      <c r="A398" s="47"/>
    </row>
    <row r="399" ht="15.75" customHeight="1">
      <c r="A399" s="47"/>
    </row>
    <row r="400" ht="15.75" customHeight="1">
      <c r="A400" s="47"/>
    </row>
    <row r="401" ht="15.75" customHeight="1">
      <c r="A401" s="47"/>
    </row>
    <row r="402" ht="15.75" customHeight="1">
      <c r="A402" s="47"/>
    </row>
    <row r="403" ht="15.75" customHeight="1">
      <c r="A403" s="47"/>
    </row>
    <row r="404" ht="15.75" customHeight="1">
      <c r="A404" s="47"/>
    </row>
    <row r="405" ht="15.75" customHeight="1">
      <c r="A405" s="47"/>
    </row>
    <row r="406" ht="15.75" customHeight="1">
      <c r="A406" s="47"/>
    </row>
    <row r="407" ht="15.75" customHeight="1">
      <c r="A407" s="47"/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customSheetViews>
    <customSheetView guid="{7A0ECC78-C4D0-4E1F-964E-96B7EAA422BE}" filter="1" showAutoFilter="1">
      <autoFilter ref="$A$1:$G$985"/>
      <extLst>
        <ext uri="GoogleSheetsCustomDataVersion1">
          <go:sheetsCustomData xmlns:go="http://customooxmlschemas.google.com/" filterViewId="1503031287"/>
        </ext>
      </extLst>
    </customSheetView>
  </customSheetViews>
  <conditionalFormatting sqref="A1:D223 E1:E238 F1:G223">
    <cfRule type="containsBlanks" dxfId="5" priority="1">
      <formula>LEN(TRIM(A1))=0</formula>
    </cfRule>
  </conditionalFormatting>
  <conditionalFormatting sqref="A1:D223 E1:E238 F1:G223">
    <cfRule type="containsBlanks" dxfId="5" priority="2">
      <formula>LEN(TRIM(A1))=0</formula>
    </cfRule>
  </conditionalFormatting>
  <dataValidations>
    <dataValidation type="custom" allowBlank="1" showDropDown="1" sqref="A2:A238">
      <formula1>OR(NOT(ISERROR(DATEVALUE(A2))), AND(ISNUMBER(A2), LEFT(CELL("format", A2))="D"))</formula1>
    </dataValidation>
    <dataValidation type="custom" allowBlank="1" showDropDown="1" sqref="B2:B238">
      <formula1>AND(ISNUMBER(B2),(NOT(OR(NOT(ISERROR(DATEVALUE(B2))), AND(ISNUMBER(B2), LEFT(CELL("format", B2))="D")))))</formula1>
    </dataValidation>
    <dataValidation allowBlank="1" showDropDown="1" sqref="C2:D238"/>
    <dataValidation type="custom" allowBlank="1" showDropDown="1" sqref="G2:G238">
      <formula1/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210</v>
      </c>
    </row>
    <row r="2">
      <c r="A2" s="3" t="s">
        <v>211</v>
      </c>
    </row>
    <row r="5">
      <c r="A5" s="4" t="s">
        <v>212</v>
      </c>
      <c r="B5" s="4" t="s">
        <v>213</v>
      </c>
      <c r="C5" s="4" t="s">
        <v>214</v>
      </c>
    </row>
    <row r="6">
      <c r="A6" s="5" t="str">
        <f t="array" ref="A6:A21">UNIQUE(Table1[State])</f>
        <v>Benin</v>
      </c>
      <c r="B6" s="5">
        <v>7.0</v>
      </c>
      <c r="C6" s="6">
        <v>0.023333333333333334</v>
      </c>
    </row>
    <row r="7">
      <c r="A7" s="5" t="s">
        <v>216</v>
      </c>
      <c r="B7" s="5">
        <v>72.0</v>
      </c>
      <c r="C7" s="6">
        <v>0.24</v>
      </c>
    </row>
    <row r="8">
      <c r="A8" s="5" t="s">
        <v>92</v>
      </c>
      <c r="B8" s="5">
        <v>16.0</v>
      </c>
      <c r="C8" s="6">
        <v>0.05333333333333334</v>
      </c>
    </row>
    <row r="9">
      <c r="A9" s="5" t="s">
        <v>217</v>
      </c>
      <c r="B9" s="5">
        <v>1.0</v>
      </c>
      <c r="C9" s="6">
        <v>0.0033333333333333335</v>
      </c>
    </row>
    <row r="10">
      <c r="A10" s="5" t="s">
        <v>25</v>
      </c>
      <c r="B10" s="5">
        <v>81.0</v>
      </c>
      <c r="C10" s="6">
        <v>0.27</v>
      </c>
    </row>
    <row r="11">
      <c r="A11" s="5" t="s">
        <v>218</v>
      </c>
      <c r="B11" s="5">
        <v>16.0</v>
      </c>
      <c r="C11" s="6">
        <v>0.05333333333333334</v>
      </c>
    </row>
    <row r="12">
      <c r="A12" s="5" t="s">
        <v>219</v>
      </c>
      <c r="B12" s="5">
        <v>49.0</v>
      </c>
      <c r="C12" s="6">
        <v>0.16333333333333333</v>
      </c>
    </row>
    <row r="13">
      <c r="A13" s="5" t="s">
        <v>53</v>
      </c>
      <c r="B13" s="5">
        <v>3.0</v>
      </c>
      <c r="C13" s="6">
        <v>0.01</v>
      </c>
    </row>
    <row r="14">
      <c r="A14" s="5" t="s">
        <v>221</v>
      </c>
      <c r="B14" s="5">
        <v>6.0</v>
      </c>
      <c r="C14" s="6">
        <v>0.02</v>
      </c>
    </row>
    <row r="15">
      <c r="A15" s="5" t="s">
        <v>222</v>
      </c>
      <c r="B15" s="5">
        <v>2.0</v>
      </c>
      <c r="C15" s="6">
        <v>0.006666666666666667</v>
      </c>
    </row>
    <row r="16">
      <c r="A16" s="5" t="s">
        <v>223</v>
      </c>
      <c r="B16" s="5">
        <v>1.0</v>
      </c>
      <c r="C16" s="6">
        <v>0.0033333333333333335</v>
      </c>
    </row>
    <row r="17">
      <c r="A17" s="5" t="s">
        <v>224</v>
      </c>
      <c r="B17" s="5">
        <v>5.0</v>
      </c>
      <c r="C17" s="6">
        <v>0.016666666666666666</v>
      </c>
    </row>
    <row r="18">
      <c r="A18" s="5" t="s">
        <v>8</v>
      </c>
      <c r="B18" s="5">
        <v>33.0</v>
      </c>
      <c r="C18" s="6">
        <v>0.11</v>
      </c>
    </row>
    <row r="19">
      <c r="A19" s="5" t="s">
        <v>225</v>
      </c>
      <c r="B19" s="5">
        <v>4.0</v>
      </c>
      <c r="C19" s="6">
        <v>0.013333333333333334</v>
      </c>
    </row>
    <row r="20">
      <c r="A20" s="5" t="s">
        <v>226</v>
      </c>
      <c r="B20" s="5">
        <v>4.0</v>
      </c>
      <c r="C20" s="6">
        <v>0.013333333333333334</v>
      </c>
    </row>
    <row r="21">
      <c r="A21" s="5" t="s">
        <v>227</v>
      </c>
      <c r="B21" s="5">
        <v>10.0</v>
      </c>
      <c r="C21" s="6">
        <v>0.03333333333333333</v>
      </c>
    </row>
    <row r="27">
      <c r="A27" s="10" t="s">
        <v>228</v>
      </c>
      <c r="B27" s="11"/>
    </row>
    <row r="28">
      <c r="A28" s="12"/>
      <c r="B28" s="12"/>
    </row>
    <row r="29">
      <c r="A29" s="13" t="s">
        <v>22</v>
      </c>
      <c r="B29" s="14">
        <v>37.0</v>
      </c>
    </row>
    <row r="30">
      <c r="A30" s="14" t="s">
        <v>158</v>
      </c>
      <c r="B30" s="14">
        <v>36.0</v>
      </c>
    </row>
    <row r="31">
      <c r="A31" s="13" t="s">
        <v>58</v>
      </c>
      <c r="B31" s="14">
        <v>21.0</v>
      </c>
    </row>
    <row r="32">
      <c r="A32" s="14" t="s">
        <v>231</v>
      </c>
      <c r="B32" s="14">
        <v>19.0</v>
      </c>
    </row>
    <row r="33">
      <c r="A33" s="13" t="s">
        <v>61</v>
      </c>
      <c r="B33" s="14">
        <v>17.0</v>
      </c>
    </row>
    <row r="34">
      <c r="A34" s="13" t="s">
        <v>178</v>
      </c>
      <c r="B34" s="14">
        <v>15.0</v>
      </c>
    </row>
    <row r="35">
      <c r="A35" s="14" t="s">
        <v>106</v>
      </c>
      <c r="B35" s="14">
        <v>13.0</v>
      </c>
    </row>
    <row r="36">
      <c r="A36" s="13" t="s">
        <v>83</v>
      </c>
      <c r="B36" s="14">
        <v>13.0</v>
      </c>
    </row>
    <row r="37">
      <c r="A37" s="13" t="s">
        <v>179</v>
      </c>
      <c r="B37" s="14">
        <v>11.0</v>
      </c>
    </row>
    <row r="38">
      <c r="A38" s="13" t="s">
        <v>57</v>
      </c>
      <c r="B38" s="14">
        <v>10.0</v>
      </c>
    </row>
    <row r="39">
      <c r="A39" s="13" t="s">
        <v>232</v>
      </c>
      <c r="B39" s="14">
        <v>6.0</v>
      </c>
    </row>
    <row r="40">
      <c r="A40" s="13" t="s">
        <v>81</v>
      </c>
      <c r="B40" s="14">
        <v>5.0</v>
      </c>
    </row>
    <row r="41">
      <c r="A41" s="13" t="s">
        <v>199</v>
      </c>
      <c r="B41" s="14">
        <v>4.0</v>
      </c>
    </row>
    <row r="42">
      <c r="A42" s="14" t="s">
        <v>233</v>
      </c>
      <c r="B42" s="14">
        <v>4.0</v>
      </c>
    </row>
    <row r="43">
      <c r="A43" s="13" t="s">
        <v>39</v>
      </c>
      <c r="B43" s="14">
        <v>3.0</v>
      </c>
    </row>
    <row r="44">
      <c r="A44" s="13" t="s">
        <v>36</v>
      </c>
      <c r="B44" s="14">
        <v>3.0</v>
      </c>
    </row>
    <row r="45">
      <c r="A45" s="13" t="s">
        <v>234</v>
      </c>
      <c r="B45" s="14">
        <v>3.0</v>
      </c>
    </row>
    <row r="46">
      <c r="A46" s="14" t="s">
        <v>235</v>
      </c>
      <c r="B46" s="14">
        <v>2.0</v>
      </c>
    </row>
    <row r="47">
      <c r="A47" s="13" t="s">
        <v>236</v>
      </c>
      <c r="B47" s="14">
        <v>2.0</v>
      </c>
    </row>
    <row r="48">
      <c r="A48" s="13" t="s">
        <v>237</v>
      </c>
      <c r="B48" s="14">
        <v>2.0</v>
      </c>
    </row>
    <row r="49">
      <c r="A49" s="13" t="s">
        <v>170</v>
      </c>
      <c r="B49" s="14">
        <v>2.0</v>
      </c>
    </row>
    <row r="50">
      <c r="A50" s="13" t="s">
        <v>176</v>
      </c>
      <c r="B50" s="14">
        <v>1.0</v>
      </c>
    </row>
    <row r="51">
      <c r="A51" s="13" t="s">
        <v>177</v>
      </c>
      <c r="B51" s="14">
        <v>1.0</v>
      </c>
    </row>
    <row r="52">
      <c r="A52" s="14" t="s">
        <v>238</v>
      </c>
      <c r="B52" s="14">
        <v>1.0</v>
      </c>
    </row>
    <row r="53">
      <c r="A53" s="14" t="s">
        <v>123</v>
      </c>
      <c r="B53" s="14">
        <v>1.0</v>
      </c>
    </row>
    <row r="54">
      <c r="A54" s="13" t="s">
        <v>195</v>
      </c>
      <c r="B54" s="14">
        <v>1.0</v>
      </c>
    </row>
    <row r="55">
      <c r="A55" s="13" t="s">
        <v>239</v>
      </c>
      <c r="B55" s="14">
        <v>1.0</v>
      </c>
    </row>
    <row r="56">
      <c r="A56" s="13" t="s">
        <v>85</v>
      </c>
      <c r="B56" s="14">
        <v>1.0</v>
      </c>
    </row>
    <row r="57">
      <c r="A57" s="13" t="s">
        <v>116</v>
      </c>
      <c r="B57" s="14">
        <v>1.0</v>
      </c>
    </row>
    <row r="58">
      <c r="A58" s="13" t="s">
        <v>243</v>
      </c>
      <c r="B58" s="14">
        <v>1.0</v>
      </c>
    </row>
    <row r="59">
      <c r="A59" s="14" t="s">
        <v>244</v>
      </c>
      <c r="B59" s="14">
        <v>1.0</v>
      </c>
    </row>
    <row r="60">
      <c r="A60" s="13" t="s">
        <v>245</v>
      </c>
      <c r="B60" s="14">
        <v>1.0</v>
      </c>
    </row>
    <row r="61">
      <c r="A61" s="14" t="s">
        <v>246</v>
      </c>
      <c r="B61" s="14">
        <v>1.0</v>
      </c>
    </row>
    <row r="62">
      <c r="A62" s="13" t="s">
        <v>248</v>
      </c>
      <c r="B62" s="14">
        <v>1.0</v>
      </c>
    </row>
    <row r="63">
      <c r="A63" s="14" t="s">
        <v>249</v>
      </c>
      <c r="B63" s="14">
        <v>1.0</v>
      </c>
    </row>
    <row r="64">
      <c r="A64" s="13" t="s">
        <v>250</v>
      </c>
      <c r="B64" s="14">
        <v>1.0</v>
      </c>
    </row>
    <row r="65">
      <c r="A65" s="13" t="s">
        <v>97</v>
      </c>
      <c r="B65" s="14">
        <v>1.0</v>
      </c>
    </row>
    <row r="66">
      <c r="A66" s="13" t="s">
        <v>251</v>
      </c>
      <c r="B66" s="14">
        <v>1.0</v>
      </c>
    </row>
    <row r="67">
      <c r="A67" s="13" t="s">
        <v>253</v>
      </c>
      <c r="B67" s="14">
        <v>1.0</v>
      </c>
    </row>
    <row r="68">
      <c r="A68" s="13" t="s">
        <v>254</v>
      </c>
      <c r="B68" s="14">
        <v>1.0</v>
      </c>
    </row>
    <row r="69">
      <c r="A69" s="13" t="s">
        <v>255</v>
      </c>
      <c r="B69" s="14">
        <v>1.0</v>
      </c>
    </row>
    <row r="70">
      <c r="A70" s="13" t="s">
        <v>257</v>
      </c>
      <c r="B70" s="14">
        <v>1.0</v>
      </c>
    </row>
    <row r="71">
      <c r="A71" s="13" t="s">
        <v>259</v>
      </c>
      <c r="B71" s="14">
        <v>1.0</v>
      </c>
    </row>
    <row r="76">
      <c r="A76" s="17" t="s">
        <v>260</v>
      </c>
      <c r="B76" s="18"/>
    </row>
    <row r="77">
      <c r="A77" s="21" t="s">
        <v>263</v>
      </c>
      <c r="B77" s="21" t="s">
        <v>265</v>
      </c>
    </row>
    <row r="78">
      <c r="A78" s="21">
        <v>1103.0</v>
      </c>
      <c r="B78" s="21">
        <v>10.0</v>
      </c>
    </row>
    <row r="79">
      <c r="A79" s="21">
        <v>1016.0</v>
      </c>
      <c r="B79" s="21">
        <v>8.0</v>
      </c>
    </row>
    <row r="80">
      <c r="A80" s="21">
        <v>1128.0</v>
      </c>
      <c r="B80" s="21">
        <v>8.0</v>
      </c>
    </row>
    <row r="81">
      <c r="A81" s="21">
        <v>1112.0</v>
      </c>
      <c r="B81" s="21">
        <v>7.0</v>
      </c>
    </row>
    <row r="82">
      <c r="A82" s="21">
        <v>1007.0</v>
      </c>
      <c r="B82" s="21">
        <v>6.0</v>
      </c>
    </row>
    <row r="83">
      <c r="A83" s="21">
        <v>1020.0</v>
      </c>
      <c r="B83" s="21">
        <v>6.0</v>
      </c>
    </row>
    <row r="84">
      <c r="A84" s="21">
        <v>1027.0</v>
      </c>
      <c r="B84" s="21">
        <v>6.0</v>
      </c>
    </row>
    <row r="85">
      <c r="A85" s="21">
        <v>1032.0</v>
      </c>
      <c r="B85" s="21">
        <v>6.0</v>
      </c>
    </row>
    <row r="86">
      <c r="A86" s="21">
        <v>1054.0</v>
      </c>
      <c r="B86" s="21">
        <v>5.0</v>
      </c>
    </row>
    <row r="87">
      <c r="A87" s="21">
        <v>1057.0</v>
      </c>
      <c r="B87" s="21">
        <v>5.0</v>
      </c>
    </row>
    <row r="98">
      <c r="A98" s="4" t="s">
        <v>263</v>
      </c>
      <c r="B98" s="23" t="s">
        <v>265</v>
      </c>
    </row>
    <row r="99">
      <c r="A99" s="24">
        <v>1103.0</v>
      </c>
      <c r="B99" s="21">
        <v>10.0</v>
      </c>
    </row>
    <row r="100">
      <c r="A100" s="24">
        <v>1016.0</v>
      </c>
      <c r="B100" s="21">
        <v>8.0</v>
      </c>
    </row>
    <row r="101">
      <c r="A101" s="24">
        <v>1128.0</v>
      </c>
      <c r="B101" s="21">
        <v>8.0</v>
      </c>
    </row>
    <row r="102">
      <c r="A102" s="24">
        <v>1112.0</v>
      </c>
      <c r="B102" s="21">
        <v>7.0</v>
      </c>
    </row>
    <row r="103">
      <c r="A103" s="24">
        <v>1007.0</v>
      </c>
      <c r="B103" s="21">
        <v>6.0</v>
      </c>
    </row>
    <row r="104">
      <c r="A104" s="24">
        <v>1020.0</v>
      </c>
      <c r="B104" s="21">
        <v>6.0</v>
      </c>
    </row>
    <row r="105">
      <c r="A105" s="24">
        <v>1027.0</v>
      </c>
      <c r="B105" s="21">
        <v>6.0</v>
      </c>
    </row>
    <row r="106">
      <c r="A106" s="24">
        <v>1032.0</v>
      </c>
      <c r="B106" s="21">
        <v>6.0</v>
      </c>
    </row>
    <row r="107">
      <c r="A107" s="24">
        <v>1054.0</v>
      </c>
      <c r="B107" s="21">
        <v>5.0</v>
      </c>
    </row>
    <row r="108">
      <c r="A108" s="24">
        <v>1057.0</v>
      </c>
      <c r="B108" s="21">
        <v>5.0</v>
      </c>
    </row>
    <row r="109">
      <c r="A109" s="24">
        <v>1061.0</v>
      </c>
      <c r="B109" s="21">
        <v>5.0</v>
      </c>
    </row>
    <row r="110">
      <c r="A110" s="24">
        <v>1082.0</v>
      </c>
      <c r="B110" s="21">
        <v>5.0</v>
      </c>
    </row>
    <row r="111">
      <c r="A111" s="24">
        <v>1105.0</v>
      </c>
      <c r="B111" s="21">
        <v>5.0</v>
      </c>
    </row>
    <row r="112">
      <c r="A112" s="24">
        <v>1130.0</v>
      </c>
      <c r="B112" s="21">
        <v>5.0</v>
      </c>
    </row>
    <row r="113">
      <c r="A113" s="24">
        <v>1001.0</v>
      </c>
      <c r="B113" s="21">
        <v>4.0</v>
      </c>
    </row>
    <row r="114">
      <c r="A114" s="24">
        <v>1028.0</v>
      </c>
      <c r="B114" s="21">
        <v>4.0</v>
      </c>
    </row>
    <row r="115">
      <c r="A115" s="24">
        <v>1030.0</v>
      </c>
      <c r="B115" s="21">
        <v>4.0</v>
      </c>
    </row>
    <row r="116">
      <c r="A116" s="24">
        <v>1034.0</v>
      </c>
      <c r="B116" s="21">
        <v>4.0</v>
      </c>
    </row>
    <row r="117">
      <c r="A117" s="24">
        <v>1044.0</v>
      </c>
      <c r="B117" s="21">
        <v>4.0</v>
      </c>
    </row>
    <row r="118">
      <c r="A118" s="24">
        <v>1058.0</v>
      </c>
      <c r="B118" s="21">
        <v>4.0</v>
      </c>
    </row>
    <row r="119">
      <c r="A119" s="24">
        <v>1064.0</v>
      </c>
      <c r="B119" s="21">
        <v>4.0</v>
      </c>
    </row>
    <row r="120">
      <c r="A120" s="24">
        <v>1066.0</v>
      </c>
      <c r="B120" s="21">
        <v>4.0</v>
      </c>
    </row>
    <row r="121">
      <c r="A121" s="24">
        <v>1078.0</v>
      </c>
      <c r="B121" s="21">
        <v>4.0</v>
      </c>
    </row>
    <row r="122">
      <c r="A122" s="24">
        <v>1081.0</v>
      </c>
      <c r="B122" s="21">
        <v>4.0</v>
      </c>
    </row>
    <row r="123">
      <c r="A123" s="24">
        <v>1087.0</v>
      </c>
      <c r="B123" s="21">
        <v>4.0</v>
      </c>
    </row>
    <row r="124">
      <c r="A124" s="24">
        <v>1092.0</v>
      </c>
      <c r="B124" s="21">
        <v>4.0</v>
      </c>
    </row>
    <row r="125">
      <c r="A125" s="24">
        <v>1129.0</v>
      </c>
      <c r="B125" s="21">
        <v>4.0</v>
      </c>
    </row>
    <row r="126">
      <c r="A126" s="24">
        <v>1005.0</v>
      </c>
      <c r="B126" s="21">
        <v>3.0</v>
      </c>
    </row>
    <row r="127">
      <c r="A127" s="24">
        <v>1014.0</v>
      </c>
      <c r="B127" s="21">
        <v>3.0</v>
      </c>
    </row>
    <row r="128">
      <c r="A128" s="24">
        <v>1015.0</v>
      </c>
      <c r="B128" s="21">
        <v>3.0</v>
      </c>
    </row>
    <row r="129">
      <c r="A129" s="24">
        <v>1024.0</v>
      </c>
      <c r="B129" s="21">
        <v>3.0</v>
      </c>
    </row>
    <row r="130">
      <c r="A130" s="24">
        <v>1033.0</v>
      </c>
      <c r="B130" s="21">
        <v>3.0</v>
      </c>
    </row>
    <row r="131">
      <c r="A131" s="24">
        <v>1041.0</v>
      </c>
      <c r="B131" s="21">
        <v>3.0</v>
      </c>
    </row>
    <row r="132">
      <c r="A132" s="24">
        <v>1059.0</v>
      </c>
      <c r="B132" s="21">
        <v>3.0</v>
      </c>
    </row>
    <row r="133">
      <c r="A133" s="24">
        <v>1076.0</v>
      </c>
      <c r="B133" s="21">
        <v>3.0</v>
      </c>
    </row>
    <row r="134">
      <c r="A134" s="24">
        <v>1101.0</v>
      </c>
      <c r="B134" s="21">
        <v>3.0</v>
      </c>
    </row>
    <row r="135">
      <c r="A135" s="24">
        <v>1104.0</v>
      </c>
      <c r="B135" s="21">
        <v>3.0</v>
      </c>
    </row>
    <row r="136">
      <c r="A136" s="24">
        <v>1118.0</v>
      </c>
      <c r="B136" s="21">
        <v>3.0</v>
      </c>
    </row>
    <row r="137">
      <c r="A137" s="24">
        <v>1133.0</v>
      </c>
      <c r="B137" s="21">
        <v>3.0</v>
      </c>
    </row>
    <row r="138">
      <c r="A138" s="24">
        <v>1134.0</v>
      </c>
      <c r="B138" s="21">
        <v>3.0</v>
      </c>
    </row>
    <row r="139">
      <c r="A139" s="24">
        <v>1139.0</v>
      </c>
      <c r="B139" s="21">
        <v>3.0</v>
      </c>
    </row>
    <row r="140">
      <c r="A140" s="24">
        <v>1143.0</v>
      </c>
      <c r="B140" s="21">
        <v>3.0</v>
      </c>
    </row>
    <row r="141">
      <c r="A141" s="24">
        <v>1003.0</v>
      </c>
      <c r="B141" s="21">
        <v>2.0</v>
      </c>
    </row>
    <row r="142">
      <c r="A142" s="24">
        <v>1006.0</v>
      </c>
      <c r="B142" s="21">
        <v>2.0</v>
      </c>
    </row>
    <row r="143">
      <c r="A143" s="24">
        <v>1009.0</v>
      </c>
      <c r="B143" s="21">
        <v>2.0</v>
      </c>
    </row>
    <row r="144">
      <c r="A144" s="24">
        <v>1022.0</v>
      </c>
      <c r="B144" s="21">
        <v>2.0</v>
      </c>
    </row>
    <row r="145">
      <c r="A145" s="24">
        <v>1023.0</v>
      </c>
      <c r="B145" s="21">
        <v>2.0</v>
      </c>
    </row>
    <row r="146">
      <c r="A146" s="24">
        <v>1026.0</v>
      </c>
      <c r="B146" s="21">
        <v>2.0</v>
      </c>
    </row>
    <row r="147">
      <c r="A147" s="24">
        <v>1036.0</v>
      </c>
      <c r="B147" s="21">
        <v>2.0</v>
      </c>
    </row>
    <row r="148">
      <c r="A148" s="24">
        <v>1037.0</v>
      </c>
      <c r="B148" s="21">
        <v>2.0</v>
      </c>
    </row>
    <row r="149">
      <c r="A149" s="24">
        <v>1039.0</v>
      </c>
      <c r="B149" s="21">
        <v>2.0</v>
      </c>
    </row>
    <row r="150">
      <c r="A150" s="24">
        <v>1045.0</v>
      </c>
      <c r="B150" s="21">
        <v>2.0</v>
      </c>
    </row>
    <row r="151">
      <c r="A151" s="24">
        <v>1063.0</v>
      </c>
      <c r="B151" s="21">
        <v>2.0</v>
      </c>
    </row>
    <row r="152">
      <c r="A152" s="24">
        <v>1065.0</v>
      </c>
      <c r="B152" s="21">
        <v>2.0</v>
      </c>
    </row>
    <row r="153">
      <c r="A153" s="24">
        <v>1070.0</v>
      </c>
      <c r="B153" s="21">
        <v>2.0</v>
      </c>
    </row>
    <row r="154">
      <c r="A154" s="24">
        <v>1071.0</v>
      </c>
      <c r="B154" s="21">
        <v>2.0</v>
      </c>
    </row>
    <row r="155">
      <c r="A155" s="24">
        <v>1074.0</v>
      </c>
      <c r="B155" s="21">
        <v>2.0</v>
      </c>
    </row>
    <row r="156">
      <c r="A156" s="24">
        <v>1077.0</v>
      </c>
      <c r="B156" s="21">
        <v>2.0</v>
      </c>
    </row>
    <row r="157">
      <c r="A157" s="24">
        <v>1080.0</v>
      </c>
      <c r="B157" s="21">
        <v>2.0</v>
      </c>
    </row>
    <row r="158">
      <c r="A158" s="24">
        <v>1085.0</v>
      </c>
      <c r="B158" s="21">
        <v>2.0</v>
      </c>
    </row>
    <row r="159">
      <c r="A159" s="24">
        <v>1088.0</v>
      </c>
      <c r="B159" s="21">
        <v>2.0</v>
      </c>
    </row>
    <row r="160">
      <c r="A160" s="24">
        <v>1089.0</v>
      </c>
      <c r="B160" s="21">
        <v>2.0</v>
      </c>
    </row>
    <row r="161">
      <c r="A161" s="24">
        <v>1090.0</v>
      </c>
      <c r="B161" s="21">
        <v>2.0</v>
      </c>
    </row>
    <row r="162">
      <c r="A162" s="24">
        <v>1091.0</v>
      </c>
      <c r="B162" s="21">
        <v>2.0</v>
      </c>
    </row>
    <row r="163">
      <c r="A163" s="24">
        <v>1093.0</v>
      </c>
      <c r="B163" s="21">
        <v>2.0</v>
      </c>
    </row>
    <row r="164">
      <c r="A164" s="24">
        <v>1094.0</v>
      </c>
      <c r="B164" s="21">
        <v>2.0</v>
      </c>
    </row>
    <row r="165">
      <c r="A165" s="24">
        <v>1096.0</v>
      </c>
      <c r="B165" s="21">
        <v>2.0</v>
      </c>
    </row>
    <row r="166">
      <c r="A166" s="24">
        <v>1098.0</v>
      </c>
      <c r="B166" s="21">
        <v>2.0</v>
      </c>
    </row>
    <row r="167">
      <c r="A167" s="24">
        <v>1099.0</v>
      </c>
      <c r="B167" s="21">
        <v>2.0</v>
      </c>
    </row>
    <row r="168">
      <c r="A168" s="24">
        <v>1106.0</v>
      </c>
      <c r="B168" s="21">
        <v>2.0</v>
      </c>
    </row>
    <row r="169">
      <c r="A169" s="24">
        <v>1108.0</v>
      </c>
      <c r="B169" s="21">
        <v>2.0</v>
      </c>
    </row>
    <row r="170">
      <c r="A170" s="24">
        <v>1109.0</v>
      </c>
      <c r="B170" s="21">
        <v>2.0</v>
      </c>
    </row>
    <row r="171">
      <c r="A171" s="24">
        <v>1111.0</v>
      </c>
      <c r="B171" s="21">
        <v>2.0</v>
      </c>
    </row>
    <row r="172">
      <c r="A172" s="24">
        <v>1114.0</v>
      </c>
      <c r="B172" s="21">
        <v>2.0</v>
      </c>
    </row>
    <row r="173">
      <c r="A173" s="24">
        <v>1115.0</v>
      </c>
      <c r="B173" s="21">
        <v>2.0</v>
      </c>
    </row>
    <row r="174">
      <c r="A174" s="24">
        <v>1117.0</v>
      </c>
      <c r="B174" s="21">
        <v>2.0</v>
      </c>
    </row>
    <row r="175">
      <c r="A175" s="24">
        <v>1122.0</v>
      </c>
      <c r="B175" s="21">
        <v>2.0</v>
      </c>
    </row>
    <row r="176">
      <c r="A176" s="24">
        <v>1123.0</v>
      </c>
      <c r="B176" s="21">
        <v>2.0</v>
      </c>
    </row>
    <row r="177">
      <c r="A177" s="24">
        <v>1125.0</v>
      </c>
      <c r="B177" s="21">
        <v>2.0</v>
      </c>
    </row>
    <row r="178">
      <c r="A178" s="24">
        <v>1126.0</v>
      </c>
      <c r="B178" s="21">
        <v>2.0</v>
      </c>
    </row>
    <row r="179">
      <c r="A179" s="24">
        <v>1127.0</v>
      </c>
      <c r="B179" s="21">
        <v>2.0</v>
      </c>
    </row>
    <row r="180">
      <c r="A180" s="24">
        <v>1136.0</v>
      </c>
      <c r="B180" s="21">
        <v>2.0</v>
      </c>
    </row>
    <row r="181">
      <c r="A181" s="24">
        <v>1137.0</v>
      </c>
      <c r="B181" s="21">
        <v>2.0</v>
      </c>
    </row>
    <row r="182">
      <c r="A182" s="24">
        <v>1140.0</v>
      </c>
      <c r="B182" s="21">
        <v>2.0</v>
      </c>
    </row>
    <row r="183">
      <c r="A183" s="24">
        <v>1142.0</v>
      </c>
      <c r="B183" s="21">
        <v>2.0</v>
      </c>
    </row>
    <row r="184">
      <c r="A184" s="24">
        <v>1002.0</v>
      </c>
      <c r="B184" s="21">
        <v>1.0</v>
      </c>
    </row>
    <row r="185">
      <c r="A185" s="24">
        <v>1004.0</v>
      </c>
      <c r="B185" s="21">
        <v>1.0</v>
      </c>
    </row>
    <row r="186">
      <c r="A186" s="24">
        <v>1008.0</v>
      </c>
      <c r="B186" s="21">
        <v>1.0</v>
      </c>
    </row>
    <row r="187">
      <c r="A187" s="24">
        <v>1010.0</v>
      </c>
      <c r="B187" s="21">
        <v>1.0</v>
      </c>
    </row>
    <row r="188">
      <c r="A188" s="24">
        <v>1011.0</v>
      </c>
      <c r="B188" s="21">
        <v>1.0</v>
      </c>
    </row>
    <row r="189">
      <c r="A189" s="24">
        <v>1012.0</v>
      </c>
      <c r="B189" s="21">
        <v>1.0</v>
      </c>
    </row>
    <row r="190">
      <c r="A190" s="24">
        <v>1013.0</v>
      </c>
      <c r="B190" s="21">
        <v>1.0</v>
      </c>
    </row>
    <row r="191">
      <c r="A191" s="24">
        <v>1017.0</v>
      </c>
      <c r="B191" s="21">
        <v>1.0</v>
      </c>
    </row>
    <row r="192">
      <c r="A192" s="24">
        <v>1018.0</v>
      </c>
      <c r="B192" s="21">
        <v>1.0</v>
      </c>
    </row>
    <row r="193">
      <c r="A193" s="24">
        <v>1019.0</v>
      </c>
      <c r="B193" s="21">
        <v>1.0</v>
      </c>
    </row>
    <row r="194">
      <c r="A194" s="24">
        <v>1021.0</v>
      </c>
      <c r="B194" s="21">
        <v>1.0</v>
      </c>
    </row>
    <row r="195">
      <c r="A195" s="24">
        <v>1025.0</v>
      </c>
      <c r="B195" s="21">
        <v>1.0</v>
      </c>
    </row>
    <row r="196">
      <c r="A196" s="24">
        <v>1029.0</v>
      </c>
      <c r="B196" s="21">
        <v>1.0</v>
      </c>
    </row>
    <row r="197">
      <c r="A197" s="24">
        <v>1031.0</v>
      </c>
      <c r="B197" s="21">
        <v>1.0</v>
      </c>
    </row>
    <row r="198">
      <c r="A198" s="24">
        <v>1035.0</v>
      </c>
      <c r="B198" s="21">
        <v>1.0</v>
      </c>
    </row>
    <row r="199">
      <c r="A199" s="24">
        <v>1038.0</v>
      </c>
      <c r="B199" s="21">
        <v>1.0</v>
      </c>
    </row>
    <row r="200">
      <c r="A200" s="24">
        <v>1040.0</v>
      </c>
      <c r="B200" s="21">
        <v>1.0</v>
      </c>
    </row>
    <row r="201">
      <c r="A201" s="24">
        <v>1042.0</v>
      </c>
      <c r="B201" s="21">
        <v>1.0</v>
      </c>
    </row>
    <row r="202">
      <c r="A202" s="24">
        <v>1043.0</v>
      </c>
      <c r="B202" s="21">
        <v>1.0</v>
      </c>
    </row>
    <row r="203">
      <c r="A203" s="24">
        <v>1046.0</v>
      </c>
      <c r="B203" s="21">
        <v>1.0</v>
      </c>
    </row>
    <row r="204">
      <c r="A204" s="24">
        <v>1047.0</v>
      </c>
      <c r="B204" s="21">
        <v>1.0</v>
      </c>
    </row>
    <row r="205">
      <c r="A205" s="24">
        <v>1048.0</v>
      </c>
      <c r="B205" s="21">
        <v>1.0</v>
      </c>
    </row>
    <row r="206">
      <c r="A206" s="24">
        <v>1049.0</v>
      </c>
      <c r="B206" s="21">
        <v>1.0</v>
      </c>
    </row>
    <row r="207">
      <c r="A207" s="24">
        <v>1050.0</v>
      </c>
      <c r="B207" s="21">
        <v>1.0</v>
      </c>
    </row>
    <row r="208">
      <c r="A208" s="24">
        <v>1051.0</v>
      </c>
      <c r="B208" s="21">
        <v>1.0</v>
      </c>
    </row>
    <row r="209">
      <c r="A209" s="24">
        <v>1052.0</v>
      </c>
      <c r="B209" s="21">
        <v>1.0</v>
      </c>
    </row>
    <row r="210">
      <c r="A210" s="24">
        <v>1053.0</v>
      </c>
      <c r="B210" s="21">
        <v>1.0</v>
      </c>
    </row>
    <row r="211">
      <c r="A211" s="24">
        <v>1055.0</v>
      </c>
      <c r="B211" s="21">
        <v>1.0</v>
      </c>
    </row>
    <row r="212">
      <c r="A212" s="24">
        <v>1056.0</v>
      </c>
      <c r="B212" s="21">
        <v>1.0</v>
      </c>
    </row>
    <row r="213">
      <c r="A213" s="24">
        <v>1060.0</v>
      </c>
      <c r="B213" s="21">
        <v>1.0</v>
      </c>
    </row>
    <row r="214">
      <c r="A214" s="24">
        <v>1062.0</v>
      </c>
      <c r="B214" s="21">
        <v>1.0</v>
      </c>
    </row>
    <row r="215">
      <c r="A215" s="24">
        <v>1067.0</v>
      </c>
      <c r="B215" s="21">
        <v>1.0</v>
      </c>
    </row>
    <row r="216">
      <c r="A216" s="24">
        <v>1068.0</v>
      </c>
      <c r="B216" s="21">
        <v>1.0</v>
      </c>
    </row>
    <row r="217">
      <c r="A217" s="24">
        <v>1069.0</v>
      </c>
      <c r="B217" s="21">
        <v>1.0</v>
      </c>
    </row>
    <row r="218">
      <c r="A218" s="24">
        <v>1072.0</v>
      </c>
      <c r="B218" s="21">
        <v>1.0</v>
      </c>
    </row>
    <row r="219">
      <c r="A219" s="24">
        <v>1073.0</v>
      </c>
      <c r="B219" s="21">
        <v>1.0</v>
      </c>
    </row>
    <row r="220">
      <c r="A220" s="24">
        <v>1075.0</v>
      </c>
      <c r="B220" s="21">
        <v>1.0</v>
      </c>
    </row>
    <row r="221">
      <c r="A221" s="24">
        <v>1079.0</v>
      </c>
      <c r="B221" s="21">
        <v>1.0</v>
      </c>
    </row>
    <row r="222">
      <c r="A222" s="24">
        <v>1083.0</v>
      </c>
      <c r="B222" s="21">
        <v>1.0</v>
      </c>
    </row>
    <row r="223">
      <c r="A223" s="24">
        <v>1084.0</v>
      </c>
      <c r="B223" s="21">
        <v>1.0</v>
      </c>
    </row>
    <row r="224">
      <c r="A224" s="24">
        <v>1086.0</v>
      </c>
      <c r="B224" s="21">
        <v>1.0</v>
      </c>
    </row>
    <row r="225">
      <c r="A225" s="24">
        <v>1095.0</v>
      </c>
      <c r="B225" s="21">
        <v>1.0</v>
      </c>
    </row>
    <row r="226">
      <c r="A226" s="24">
        <v>1097.0</v>
      </c>
      <c r="B226" s="21">
        <v>1.0</v>
      </c>
    </row>
    <row r="227">
      <c r="A227" s="24">
        <v>1100.0</v>
      </c>
      <c r="B227" s="21">
        <v>1.0</v>
      </c>
    </row>
    <row r="228">
      <c r="A228" s="24">
        <v>1102.0</v>
      </c>
      <c r="B228" s="21">
        <v>1.0</v>
      </c>
    </row>
    <row r="229">
      <c r="A229" s="24">
        <v>1107.0</v>
      </c>
      <c r="B229" s="21">
        <v>1.0</v>
      </c>
    </row>
    <row r="230">
      <c r="A230" s="24">
        <v>1110.0</v>
      </c>
      <c r="B230" s="21">
        <v>1.0</v>
      </c>
    </row>
    <row r="231">
      <c r="A231" s="24">
        <v>1113.0</v>
      </c>
      <c r="B231" s="21">
        <v>1.0</v>
      </c>
    </row>
    <row r="232">
      <c r="A232" s="24">
        <v>1116.0</v>
      </c>
      <c r="B232" s="21">
        <v>1.0</v>
      </c>
    </row>
    <row r="233">
      <c r="A233" s="24">
        <v>1119.0</v>
      </c>
      <c r="B233" s="21">
        <v>1.0</v>
      </c>
    </row>
    <row r="234">
      <c r="A234" s="24">
        <v>1120.0</v>
      </c>
      <c r="B234" s="21">
        <v>1.0</v>
      </c>
    </row>
    <row r="235">
      <c r="A235" s="24">
        <v>1121.0</v>
      </c>
      <c r="B235" s="21">
        <v>1.0</v>
      </c>
    </row>
    <row r="236">
      <c r="A236" s="24">
        <v>1124.0</v>
      </c>
      <c r="B236" s="21">
        <v>1.0</v>
      </c>
    </row>
    <row r="237">
      <c r="A237" s="24">
        <v>1131.0</v>
      </c>
      <c r="B237" s="21">
        <v>1.0</v>
      </c>
    </row>
    <row r="238">
      <c r="A238" s="24">
        <v>1132.0</v>
      </c>
      <c r="B238" s="21">
        <v>1.0</v>
      </c>
    </row>
    <row r="239">
      <c r="A239" s="24">
        <v>1135.0</v>
      </c>
      <c r="B239" s="21">
        <v>1.0</v>
      </c>
    </row>
    <row r="240">
      <c r="A240" s="24">
        <v>1138.0</v>
      </c>
      <c r="B240" s="21">
        <v>1.0</v>
      </c>
    </row>
    <row r="241">
      <c r="A241" s="24">
        <v>1141.0</v>
      </c>
      <c r="B241" s="21">
        <v>1.0</v>
      </c>
    </row>
    <row r="242">
      <c r="A242" s="25">
        <v>1144.0</v>
      </c>
      <c r="B242" s="21">
        <v>1.0</v>
      </c>
    </row>
  </sheetData>
  <mergeCells count="1">
    <mergeCell ref="A27:B27"/>
  </mergeCells>
  <conditionalFormatting sqref="A5:B2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5</v>
      </c>
      <c r="E1" s="3" t="s">
        <v>7</v>
      </c>
    </row>
    <row r="2" ht="15.75" customHeight="1">
      <c r="A2" s="3">
        <v>8.034621041E9</v>
      </c>
      <c r="B2" s="3" t="s">
        <v>240</v>
      </c>
      <c r="C2" s="3" t="s">
        <v>24</v>
      </c>
      <c r="D2" s="3">
        <v>2.0</v>
      </c>
      <c r="E2" s="3" t="s">
        <v>139</v>
      </c>
    </row>
    <row r="3" ht="15.75" customHeight="1">
      <c r="A3" s="3">
        <v>8.034621041E9</v>
      </c>
      <c r="B3" s="3" t="s">
        <v>240</v>
      </c>
      <c r="C3" s="3" t="s">
        <v>11</v>
      </c>
      <c r="D3" s="3">
        <v>2.0</v>
      </c>
      <c r="E3" s="3" t="s">
        <v>139</v>
      </c>
    </row>
    <row r="4" ht="15.75" customHeight="1">
      <c r="A4" s="3">
        <v>8.032584227E9</v>
      </c>
      <c r="B4" s="3" t="s">
        <v>33</v>
      </c>
      <c r="C4" s="3" t="s">
        <v>241</v>
      </c>
      <c r="D4" s="3">
        <v>1.0</v>
      </c>
      <c r="E4" s="3" t="s">
        <v>139</v>
      </c>
    </row>
    <row r="5" ht="15.75" customHeight="1">
      <c r="A5" s="3" t="s">
        <v>242</v>
      </c>
      <c r="B5" s="3" t="s">
        <v>143</v>
      </c>
      <c r="C5" s="3" t="s">
        <v>16</v>
      </c>
      <c r="D5" s="3">
        <v>2.0</v>
      </c>
      <c r="E5" s="3" t="s">
        <v>144</v>
      </c>
    </row>
    <row r="6" ht="15.75" customHeight="1">
      <c r="A6" s="3">
        <v>8.035846113E9</v>
      </c>
      <c r="B6" s="3" t="s">
        <v>125</v>
      </c>
      <c r="C6" s="3" t="s">
        <v>145</v>
      </c>
      <c r="D6" s="3">
        <v>2.0</v>
      </c>
      <c r="E6" s="3" t="s">
        <v>144</v>
      </c>
    </row>
    <row r="7" ht="15.75" customHeight="1">
      <c r="A7" s="3">
        <v>7.046822541E9</v>
      </c>
      <c r="B7" s="3" t="s">
        <v>33</v>
      </c>
      <c r="C7" s="3" t="s">
        <v>247</v>
      </c>
      <c r="D7" s="3">
        <v>1.0</v>
      </c>
      <c r="E7" s="3" t="s">
        <v>144</v>
      </c>
    </row>
    <row r="8" ht="15.75" customHeight="1">
      <c r="A8" s="3">
        <v>7.046822541E9</v>
      </c>
      <c r="B8" s="3" t="s">
        <v>33</v>
      </c>
      <c r="C8" s="3" t="s">
        <v>147</v>
      </c>
      <c r="D8" s="3">
        <v>1.0</v>
      </c>
      <c r="E8" s="3" t="s">
        <v>144</v>
      </c>
    </row>
    <row r="9" ht="15.75" customHeight="1">
      <c r="A9" s="3">
        <v>8.035846113E9</v>
      </c>
      <c r="B9" s="3" t="s">
        <v>125</v>
      </c>
      <c r="C9" s="3" t="s">
        <v>97</v>
      </c>
      <c r="D9" s="3">
        <v>2.0</v>
      </c>
      <c r="E9" s="3" t="s">
        <v>144</v>
      </c>
    </row>
    <row r="10" ht="15.75" customHeight="1">
      <c r="A10" s="3">
        <v>8.037349461E9</v>
      </c>
      <c r="B10" s="3" t="s">
        <v>47</v>
      </c>
      <c r="C10" s="3" t="s">
        <v>57</v>
      </c>
      <c r="D10" s="3">
        <v>1.0</v>
      </c>
      <c r="E10" s="3" t="s">
        <v>144</v>
      </c>
    </row>
    <row r="11" ht="15.75" customHeight="1">
      <c r="A11" s="3">
        <v>8.035655076E9</v>
      </c>
      <c r="B11" s="3" t="s">
        <v>53</v>
      </c>
      <c r="C11" s="3" t="s">
        <v>148</v>
      </c>
      <c r="D11" s="3">
        <v>2.0</v>
      </c>
      <c r="E11" s="3" t="s">
        <v>149</v>
      </c>
    </row>
    <row r="12" ht="15.75" customHeight="1">
      <c r="A12" s="3">
        <v>8.035655076E9</v>
      </c>
      <c r="B12" s="3" t="s">
        <v>261</v>
      </c>
      <c r="C12" s="3" t="s">
        <v>83</v>
      </c>
      <c r="D12" s="3">
        <v>3.0</v>
      </c>
      <c r="E12" s="3" t="s">
        <v>149</v>
      </c>
    </row>
    <row r="13" ht="15.75" customHeight="1">
      <c r="A13" s="3">
        <v>8.034240881E9</v>
      </c>
      <c r="B13" s="3" t="s">
        <v>151</v>
      </c>
      <c r="C13" s="3" t="s">
        <v>152</v>
      </c>
      <c r="D13" s="3">
        <v>1.0</v>
      </c>
      <c r="E13" s="3" t="s">
        <v>153</v>
      </c>
    </row>
    <row r="14" ht="15.75" customHeight="1">
      <c r="A14" s="3">
        <v>8.034363923E9</v>
      </c>
      <c r="B14" s="3" t="s">
        <v>262</v>
      </c>
      <c r="C14" s="3" t="s">
        <v>126</v>
      </c>
      <c r="D14" s="3">
        <v>1.0</v>
      </c>
      <c r="E14" s="3" t="s">
        <v>155</v>
      </c>
    </row>
    <row r="15" ht="15.75" customHeight="1">
      <c r="A15" s="3">
        <v>7.071257348E9</v>
      </c>
      <c r="B15" s="3" t="s">
        <v>9</v>
      </c>
      <c r="C15" s="3" t="s">
        <v>83</v>
      </c>
      <c r="D15" s="3">
        <v>2.0</v>
      </c>
      <c r="E15" s="3" t="s">
        <v>155</v>
      </c>
    </row>
    <row r="16" ht="15.75" customHeight="1">
      <c r="A16" s="3">
        <v>8.163852785E9</v>
      </c>
      <c r="B16" s="3" t="s">
        <v>47</v>
      </c>
      <c r="C16" s="3" t="s">
        <v>83</v>
      </c>
      <c r="D16" s="3">
        <v>2.0</v>
      </c>
      <c r="E16" s="19">
        <v>46030.0</v>
      </c>
    </row>
    <row r="17" ht="15.75" customHeight="1">
      <c r="A17" s="3">
        <v>9.036852785E9</v>
      </c>
      <c r="B17" s="3" t="s">
        <v>47</v>
      </c>
      <c r="C17" s="3" t="s">
        <v>83</v>
      </c>
      <c r="D17" s="3">
        <v>1.0</v>
      </c>
      <c r="E17" s="19">
        <v>46030.0</v>
      </c>
    </row>
    <row r="18" ht="15.75" customHeight="1">
      <c r="A18" s="3">
        <v>8.063088411E9</v>
      </c>
      <c r="B18" s="3" t="s">
        <v>47</v>
      </c>
      <c r="C18" s="3" t="s">
        <v>156</v>
      </c>
      <c r="D18" s="3">
        <v>1.0</v>
      </c>
      <c r="E18" s="19">
        <v>46089.0</v>
      </c>
    </row>
    <row r="19" ht="15.75" customHeight="1">
      <c r="A19" s="3">
        <v>7.024852188E9</v>
      </c>
      <c r="B19" s="3" t="s">
        <v>267</v>
      </c>
      <c r="C19" s="3" t="s">
        <v>158</v>
      </c>
      <c r="D19" s="3">
        <v>2.0</v>
      </c>
      <c r="E19" s="19">
        <v>46089.0</v>
      </c>
    </row>
    <row r="20" ht="15.75" customHeight="1">
      <c r="A20" s="3">
        <v>7.024852188E9</v>
      </c>
      <c r="B20" s="3" t="s">
        <v>25</v>
      </c>
      <c r="C20" s="3" t="s">
        <v>268</v>
      </c>
      <c r="D20" s="3">
        <v>1.0</v>
      </c>
      <c r="E20" s="19">
        <v>46150.0</v>
      </c>
    </row>
    <row r="21" ht="15.75" customHeight="1">
      <c r="A21" s="3">
        <v>7.024852188E9</v>
      </c>
      <c r="B21" s="3" t="s">
        <v>25</v>
      </c>
      <c r="C21" s="3" t="s">
        <v>11</v>
      </c>
      <c r="D21" s="3">
        <v>1.0</v>
      </c>
      <c r="E21" s="19">
        <v>46150.0</v>
      </c>
    </row>
    <row r="22" ht="15.75" customHeight="1">
      <c r="A22" s="3">
        <v>9.161382849E9</v>
      </c>
      <c r="B22" s="3" t="s">
        <v>25</v>
      </c>
      <c r="C22" s="3" t="s">
        <v>269</v>
      </c>
      <c r="D22" s="3">
        <v>1.0</v>
      </c>
      <c r="E22" s="19">
        <v>46150.0</v>
      </c>
    </row>
    <row r="23" ht="15.75" customHeight="1">
      <c r="A23" s="3">
        <v>8.163854753E9</v>
      </c>
      <c r="B23" s="3" t="s">
        <v>162</v>
      </c>
      <c r="C23" s="3" t="s">
        <v>83</v>
      </c>
      <c r="D23" s="3">
        <v>1.0</v>
      </c>
      <c r="E23" s="19">
        <v>46181.0</v>
      </c>
    </row>
    <row r="24" ht="15.75" customHeight="1">
      <c r="A24" s="3">
        <v>7.039718944E9</v>
      </c>
      <c r="B24" s="3" t="s">
        <v>47</v>
      </c>
      <c r="C24" s="3" t="s">
        <v>61</v>
      </c>
      <c r="D24" s="3">
        <v>1.0</v>
      </c>
      <c r="E24" s="19">
        <v>46181.0</v>
      </c>
    </row>
    <row r="25" ht="15.75" customHeight="1">
      <c r="A25" s="3">
        <v>7.039718944E9</v>
      </c>
      <c r="B25" s="3" t="s">
        <v>270</v>
      </c>
      <c r="C25" s="3" t="s">
        <v>271</v>
      </c>
      <c r="D25" s="3">
        <v>1.0</v>
      </c>
      <c r="E25" s="19">
        <v>46181.0</v>
      </c>
    </row>
    <row r="26" ht="15.75" customHeight="1">
      <c r="A26" s="3">
        <v>7.039718944E9</v>
      </c>
      <c r="B26" s="3" t="s">
        <v>272</v>
      </c>
      <c r="C26" s="3" t="s">
        <v>166</v>
      </c>
      <c r="D26" s="3">
        <v>1.0</v>
      </c>
      <c r="E26" s="19">
        <v>46181.0</v>
      </c>
    </row>
    <row r="27" ht="15.75" customHeight="1">
      <c r="A27" s="3">
        <v>8.034863417E9</v>
      </c>
      <c r="B27" s="3" t="s">
        <v>275</v>
      </c>
      <c r="C27" s="3" t="s">
        <v>65</v>
      </c>
      <c r="D27" s="3">
        <v>1.0</v>
      </c>
      <c r="E27" s="19">
        <v>46181.0</v>
      </c>
    </row>
    <row r="28" ht="15.75" customHeight="1">
      <c r="B28" s="3" t="s">
        <v>42</v>
      </c>
      <c r="C28" s="3" t="s">
        <v>31</v>
      </c>
      <c r="D28" s="3">
        <v>1.0</v>
      </c>
      <c r="E28" s="19">
        <v>46273.0</v>
      </c>
    </row>
    <row r="29" ht="15.75" customHeight="1">
      <c r="C29" s="3" t="s">
        <v>34</v>
      </c>
      <c r="D29" s="3">
        <v>4.0</v>
      </c>
      <c r="E29" s="19">
        <v>46334.0</v>
      </c>
    </row>
    <row r="30" ht="15.75" customHeight="1">
      <c r="A30" s="3">
        <v>8.036512868E9</v>
      </c>
      <c r="C30" s="3" t="s">
        <v>31</v>
      </c>
      <c r="D30" s="3">
        <v>4.0</v>
      </c>
      <c r="E30" s="19">
        <v>46334.0</v>
      </c>
    </row>
    <row r="31" ht="15.75" customHeight="1">
      <c r="A31" s="3">
        <v>8.036512868E9</v>
      </c>
      <c r="B31" s="3" t="s">
        <v>42</v>
      </c>
      <c r="C31" s="3" t="s">
        <v>10</v>
      </c>
    </row>
    <row r="32" ht="15.75" customHeight="1">
      <c r="A32" s="3">
        <v>8.036512868E9</v>
      </c>
      <c r="B32" s="3" t="s">
        <v>42</v>
      </c>
      <c r="C32" s="3" t="s">
        <v>277</v>
      </c>
    </row>
    <row r="33" ht="15.75" customHeight="1">
      <c r="B33" s="3" t="s">
        <v>42</v>
      </c>
      <c r="C33" s="3" t="s">
        <v>16</v>
      </c>
      <c r="D33" s="3">
        <v>1.0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8.25"/>
  </cols>
  <sheetData>
    <row r="1">
      <c r="A1" s="3" t="s">
        <v>0</v>
      </c>
      <c r="B1" s="3" t="s">
        <v>252</v>
      </c>
      <c r="C1" s="3" t="s">
        <v>2</v>
      </c>
      <c r="D1" s="3" t="s">
        <v>256</v>
      </c>
      <c r="E1" s="3" t="s">
        <v>6</v>
      </c>
    </row>
    <row r="2">
      <c r="A2" s="3">
        <v>7.030910093E9</v>
      </c>
      <c r="B2" s="3" t="s">
        <v>8</v>
      </c>
      <c r="C2" s="3" t="s">
        <v>10</v>
      </c>
      <c r="D2" s="3">
        <v>1.0</v>
      </c>
      <c r="E2" s="19">
        <v>46303.0</v>
      </c>
    </row>
    <row r="3">
      <c r="A3" s="3">
        <v>8.030910093E9</v>
      </c>
      <c r="B3" s="3" t="s">
        <v>8</v>
      </c>
      <c r="C3" s="3" t="s">
        <v>83</v>
      </c>
      <c r="D3" s="3">
        <v>1.0</v>
      </c>
      <c r="E3" s="19">
        <v>46303.0</v>
      </c>
    </row>
    <row r="4">
      <c r="A4" s="3">
        <v>7.029852101E9</v>
      </c>
      <c r="B4" s="3" t="s">
        <v>25</v>
      </c>
      <c r="C4" s="3" t="s">
        <v>266</v>
      </c>
      <c r="D4" s="3">
        <v>1.0</v>
      </c>
      <c r="E4" s="19">
        <v>46303.0</v>
      </c>
    </row>
    <row r="5">
      <c r="A5" s="3">
        <v>7.029852101E9</v>
      </c>
      <c r="B5" s="3" t="s">
        <v>92</v>
      </c>
      <c r="C5" s="3" t="s">
        <v>31</v>
      </c>
      <c r="D5" s="3">
        <v>2.0</v>
      </c>
      <c r="E5" s="19">
        <v>46334.0</v>
      </c>
    </row>
    <row r="6">
      <c r="A6" s="3">
        <v>7.034450433E9</v>
      </c>
      <c r="B6" s="3" t="s">
        <v>8</v>
      </c>
      <c r="C6" s="3" t="s">
        <v>34</v>
      </c>
      <c r="D6" s="3">
        <v>1.0</v>
      </c>
      <c r="E6" s="19">
        <v>46334.0</v>
      </c>
    </row>
    <row r="7">
      <c r="A7" s="3" t="s">
        <v>273</v>
      </c>
      <c r="B7" s="3" t="s">
        <v>274</v>
      </c>
      <c r="C7" s="3" t="s">
        <v>276</v>
      </c>
      <c r="D7" s="3">
        <v>2.0</v>
      </c>
      <c r="E7" s="19">
        <v>46334.0</v>
      </c>
    </row>
    <row r="8">
      <c r="A8" s="3" t="s">
        <v>273</v>
      </c>
      <c r="B8" s="3" t="s">
        <v>274</v>
      </c>
      <c r="C8" s="3" t="s">
        <v>276</v>
      </c>
      <c r="D8" s="3">
        <v>2.0</v>
      </c>
      <c r="E8" s="19">
        <v>46334.0</v>
      </c>
    </row>
    <row r="9">
      <c r="A9" s="3">
        <v>8.034213214E9</v>
      </c>
      <c r="B9" s="3" t="s">
        <v>42</v>
      </c>
      <c r="C9" s="3" t="s">
        <v>48</v>
      </c>
      <c r="D9" s="3">
        <v>1.0</v>
      </c>
      <c r="E9" s="19">
        <v>46364.0</v>
      </c>
    </row>
    <row r="10">
      <c r="A10" s="3">
        <v>8.163854758E9</v>
      </c>
      <c r="B10" s="3" t="s">
        <v>47</v>
      </c>
      <c r="C10" s="3" t="s">
        <v>126</v>
      </c>
      <c r="D10" s="3">
        <v>1.0</v>
      </c>
      <c r="E10" s="19">
        <v>46364.0</v>
      </c>
    </row>
    <row r="11">
      <c r="A11" s="3">
        <v>8.0667205E8</v>
      </c>
      <c r="B11" s="3" t="s">
        <v>33</v>
      </c>
      <c r="C11" s="3" t="s">
        <v>278</v>
      </c>
      <c r="D11" s="3">
        <v>1.0</v>
      </c>
      <c r="E11" s="19">
        <v>46364.0</v>
      </c>
    </row>
    <row r="12">
      <c r="A12" s="3">
        <v>8.163854758E9</v>
      </c>
      <c r="B12" s="3" t="s">
        <v>47</v>
      </c>
      <c r="C12" s="3" t="s">
        <v>57</v>
      </c>
      <c r="D12" s="3">
        <v>1.0</v>
      </c>
      <c r="E12" s="19">
        <v>46364.0</v>
      </c>
    </row>
    <row r="13">
      <c r="A13" s="3">
        <v>8.163854758E9</v>
      </c>
      <c r="B13" s="3" t="s">
        <v>47</v>
      </c>
      <c r="C13" s="3" t="s">
        <v>279</v>
      </c>
      <c r="D13" s="3">
        <v>1.0</v>
      </c>
      <c r="E13" s="19">
        <v>46364.0</v>
      </c>
    </row>
    <row r="14">
      <c r="A14" s="3">
        <v>7.080910093E9</v>
      </c>
      <c r="B14" s="3" t="s">
        <v>8</v>
      </c>
      <c r="C14" s="3" t="s">
        <v>280</v>
      </c>
      <c r="D14" s="3">
        <v>1.0</v>
      </c>
      <c r="E14" s="19">
        <v>46364.0</v>
      </c>
    </row>
    <row r="15">
      <c r="A15" s="3">
        <v>7.030910093E9</v>
      </c>
      <c r="B15" s="3" t="s">
        <v>8</v>
      </c>
      <c r="C15" s="3" t="s">
        <v>249</v>
      </c>
      <c r="D15" s="3">
        <v>1.0</v>
      </c>
      <c r="E15" s="19">
        <v>46364.0</v>
      </c>
    </row>
    <row r="16">
      <c r="A16" s="3">
        <v>7.036363536E9</v>
      </c>
      <c r="B16" s="3" t="s">
        <v>281</v>
      </c>
      <c r="C16" s="3" t="s">
        <v>282</v>
      </c>
      <c r="D16" s="3">
        <v>1.0</v>
      </c>
      <c r="E16" s="19">
        <v>46364.0</v>
      </c>
    </row>
    <row r="17">
      <c r="A17" s="3">
        <v>8.032151901E9</v>
      </c>
      <c r="B17" s="3" t="s">
        <v>283</v>
      </c>
      <c r="C17" s="3" t="s">
        <v>58</v>
      </c>
      <c r="D17" s="3">
        <v>1.0</v>
      </c>
      <c r="E17" s="3" t="s">
        <v>71</v>
      </c>
    </row>
    <row r="18">
      <c r="A18" s="3">
        <v>8.032151901E9</v>
      </c>
      <c r="B18" s="3" t="s">
        <v>283</v>
      </c>
      <c r="C18" s="3" t="s">
        <v>284</v>
      </c>
      <c r="D18" s="3">
        <v>1.0</v>
      </c>
      <c r="E18" s="3" t="s">
        <v>71</v>
      </c>
    </row>
    <row r="19">
      <c r="A19" s="3">
        <v>8.032151901E9</v>
      </c>
      <c r="B19" s="3" t="s">
        <v>283</v>
      </c>
      <c r="C19" s="3" t="s">
        <v>36</v>
      </c>
      <c r="D19" s="3">
        <v>1.0</v>
      </c>
      <c r="E19" s="3" t="s">
        <v>285</v>
      </c>
    </row>
    <row r="20">
      <c r="A20" s="3">
        <v>9.034606524E9</v>
      </c>
      <c r="B20" s="3" t="s">
        <v>286</v>
      </c>
      <c r="C20" s="3" t="s">
        <v>61</v>
      </c>
      <c r="D20" s="3">
        <v>2.0</v>
      </c>
      <c r="E20" s="3" t="s">
        <v>78</v>
      </c>
    </row>
    <row r="21">
      <c r="A21" s="3">
        <v>8.065538794E9</v>
      </c>
      <c r="B21" s="3" t="s">
        <v>80</v>
      </c>
      <c r="C21" s="3" t="s">
        <v>287</v>
      </c>
      <c r="D21" s="3">
        <v>2.0</v>
      </c>
      <c r="E21" s="3" t="s">
        <v>78</v>
      </c>
    </row>
    <row r="22">
      <c r="A22" s="3">
        <v>8.033238943E9</v>
      </c>
      <c r="B22" s="3" t="s">
        <v>82</v>
      </c>
      <c r="C22" s="3" t="s">
        <v>83</v>
      </c>
      <c r="D22" s="3">
        <v>1.0</v>
      </c>
      <c r="E22" s="3" t="s">
        <v>78</v>
      </c>
    </row>
    <row r="23">
      <c r="A23" s="3">
        <v>8.163854758E9</v>
      </c>
      <c r="B23" s="3" t="s">
        <v>87</v>
      </c>
      <c r="C23" s="3" t="s">
        <v>104</v>
      </c>
      <c r="D23" s="3" t="s">
        <v>288</v>
      </c>
      <c r="E23" s="3" t="s">
        <v>91</v>
      </c>
    </row>
    <row r="24">
      <c r="A24" s="3">
        <v>8.163854758E9</v>
      </c>
      <c r="B24" s="3" t="s">
        <v>273</v>
      </c>
      <c r="C24" s="3" t="s">
        <v>83</v>
      </c>
      <c r="D24" s="3" t="s">
        <v>288</v>
      </c>
      <c r="E24" s="3" t="s">
        <v>91</v>
      </c>
    </row>
    <row r="25">
      <c r="A25" s="3" t="s">
        <v>273</v>
      </c>
      <c r="B25" s="3" t="s">
        <v>273</v>
      </c>
      <c r="C25" s="3" t="s">
        <v>97</v>
      </c>
      <c r="D25" s="3" t="s">
        <v>288</v>
      </c>
      <c r="E25" s="3" t="s">
        <v>91</v>
      </c>
    </row>
    <row r="26">
      <c r="A26" s="3">
        <v>9.034606524E9</v>
      </c>
      <c r="B26" s="3" t="s">
        <v>75</v>
      </c>
      <c r="C26" s="3" t="s">
        <v>61</v>
      </c>
      <c r="D26" s="3" t="s">
        <v>288</v>
      </c>
      <c r="E26" s="3" t="s">
        <v>99</v>
      </c>
    </row>
    <row r="27">
      <c r="A27" s="3" t="s">
        <v>273</v>
      </c>
      <c r="B27" s="3" t="s">
        <v>273</v>
      </c>
      <c r="C27" s="3" t="s">
        <v>36</v>
      </c>
      <c r="D27" s="3" t="s">
        <v>102</v>
      </c>
      <c r="E27" s="3" t="s">
        <v>99</v>
      </c>
    </row>
    <row r="28">
      <c r="A28" s="3" t="s">
        <v>273</v>
      </c>
      <c r="B28" s="3" t="s">
        <v>273</v>
      </c>
      <c r="C28" s="3" t="s">
        <v>104</v>
      </c>
      <c r="D28" s="3" t="s">
        <v>288</v>
      </c>
      <c r="E28" s="3" t="s">
        <v>99</v>
      </c>
    </row>
    <row r="29">
      <c r="A29" s="3">
        <v>8.032151901E9</v>
      </c>
      <c r="B29" s="3" t="s">
        <v>25</v>
      </c>
      <c r="C29" s="3" t="s">
        <v>289</v>
      </c>
      <c r="D29" s="3" t="s">
        <v>89</v>
      </c>
      <c r="E29" s="3" t="s">
        <v>99</v>
      </c>
    </row>
    <row r="30">
      <c r="A30" s="3" t="s">
        <v>273</v>
      </c>
      <c r="B30" s="3" t="s">
        <v>273</v>
      </c>
      <c r="C30" s="3" t="s">
        <v>287</v>
      </c>
      <c r="D30" s="3" t="s">
        <v>89</v>
      </c>
      <c r="E30" s="3" t="s">
        <v>99</v>
      </c>
    </row>
    <row r="31">
      <c r="A31" s="3" t="s">
        <v>273</v>
      </c>
      <c r="B31" s="3" t="s">
        <v>273</v>
      </c>
      <c r="C31" s="3" t="s">
        <v>83</v>
      </c>
      <c r="D31" s="3" t="s">
        <v>89</v>
      </c>
      <c r="E31" s="3" t="s">
        <v>99</v>
      </c>
    </row>
    <row r="32">
      <c r="A32" s="3">
        <v>8.163005469E9</v>
      </c>
      <c r="B32" s="3" t="s">
        <v>25</v>
      </c>
      <c r="C32" s="3" t="s">
        <v>108</v>
      </c>
      <c r="D32" s="3" t="s">
        <v>102</v>
      </c>
      <c r="E32" s="3" t="s">
        <v>99</v>
      </c>
    </row>
    <row r="33">
      <c r="A33" s="3">
        <v>8.064995955E9</v>
      </c>
      <c r="B33" s="3" t="s">
        <v>109</v>
      </c>
      <c r="C33" s="3" t="s">
        <v>110</v>
      </c>
      <c r="D33" s="3" t="s">
        <v>89</v>
      </c>
      <c r="E33" s="3" t="s">
        <v>99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3" width="14.75"/>
    <col customWidth="1" min="4" max="4" width="16.25"/>
    <col customWidth="1" min="6" max="6" width="17.38"/>
  </cols>
  <sheetData>
    <row r="1" ht="25.5" customHeight="1">
      <c r="A1" s="26" t="s">
        <v>6</v>
      </c>
      <c r="B1" s="27" t="s">
        <v>220</v>
      </c>
      <c r="C1" s="27" t="s">
        <v>0</v>
      </c>
      <c r="D1" s="26" t="s">
        <v>1</v>
      </c>
      <c r="E1" s="26" t="s">
        <v>230</v>
      </c>
      <c r="F1" s="26" t="s">
        <v>2</v>
      </c>
      <c r="G1" s="26" t="s">
        <v>5</v>
      </c>
      <c r="H1" s="26"/>
    </row>
    <row r="2">
      <c r="A2" s="28">
        <v>46259.0</v>
      </c>
      <c r="B2" s="17"/>
      <c r="C2" s="17" t="s">
        <v>292</v>
      </c>
      <c r="D2" s="3" t="s">
        <v>92</v>
      </c>
      <c r="E2" s="3" t="s">
        <v>25</v>
      </c>
      <c r="F2" s="3" t="s">
        <v>250</v>
      </c>
      <c r="G2" s="3">
        <v>1.0</v>
      </c>
    </row>
    <row r="3">
      <c r="A3" s="28">
        <v>46260.0</v>
      </c>
      <c r="B3" s="17"/>
      <c r="C3" s="17" t="s">
        <v>293</v>
      </c>
      <c r="D3" s="3" t="s">
        <v>47</v>
      </c>
      <c r="E3" s="3" t="s">
        <v>216</v>
      </c>
      <c r="F3" s="3" t="s">
        <v>83</v>
      </c>
      <c r="G3" s="3">
        <v>2.0</v>
      </c>
    </row>
    <row r="4">
      <c r="A4" s="28">
        <v>46260.0</v>
      </c>
      <c r="B4" s="17"/>
      <c r="C4" s="17" t="s">
        <v>294</v>
      </c>
      <c r="D4" s="3" t="s">
        <v>8</v>
      </c>
      <c r="E4" s="3" t="s">
        <v>8</v>
      </c>
      <c r="F4" s="3" t="s">
        <v>22</v>
      </c>
      <c r="G4" s="3">
        <v>1.0</v>
      </c>
    </row>
    <row r="5">
      <c r="A5" s="28">
        <v>46260.0</v>
      </c>
      <c r="B5" s="17"/>
      <c r="C5" s="17" t="s">
        <v>294</v>
      </c>
      <c r="D5" s="3" t="s">
        <v>8</v>
      </c>
      <c r="E5" s="3" t="s">
        <v>8</v>
      </c>
      <c r="F5" s="3" t="s">
        <v>97</v>
      </c>
      <c r="G5" s="3">
        <v>1.0</v>
      </c>
    </row>
    <row r="6">
      <c r="A6" s="28">
        <v>46260.0</v>
      </c>
      <c r="B6" s="17"/>
      <c r="C6" s="17" t="s">
        <v>295</v>
      </c>
      <c r="D6" s="3" t="s">
        <v>92</v>
      </c>
      <c r="E6" s="3" t="s">
        <v>92</v>
      </c>
      <c r="F6" s="3" t="s">
        <v>251</v>
      </c>
      <c r="G6" s="3">
        <v>1.0</v>
      </c>
    </row>
    <row r="7">
      <c r="A7" s="28">
        <v>46261.0</v>
      </c>
      <c r="B7" s="17"/>
      <c r="C7" s="17" t="s">
        <v>297</v>
      </c>
      <c r="D7" s="3" t="s">
        <v>42</v>
      </c>
      <c r="E7" s="3" t="s">
        <v>216</v>
      </c>
      <c r="F7" s="3" t="s">
        <v>253</v>
      </c>
      <c r="G7" s="3">
        <v>1.0</v>
      </c>
    </row>
    <row r="8">
      <c r="A8" s="28">
        <v>46261.0</v>
      </c>
      <c r="B8" s="17"/>
      <c r="C8" s="17" t="s">
        <v>297</v>
      </c>
      <c r="D8" s="3" t="s">
        <v>42</v>
      </c>
      <c r="E8" s="3" t="s">
        <v>216</v>
      </c>
      <c r="F8" s="3" t="s">
        <v>254</v>
      </c>
      <c r="G8" s="3">
        <v>1.0</v>
      </c>
    </row>
    <row r="9">
      <c r="A9" s="28">
        <v>46261.0</v>
      </c>
      <c r="B9" s="17"/>
      <c r="C9" s="17" t="s">
        <v>298</v>
      </c>
      <c r="D9" s="3" t="s">
        <v>42</v>
      </c>
      <c r="E9" s="3" t="s">
        <v>216</v>
      </c>
      <c r="F9" s="3" t="s">
        <v>255</v>
      </c>
      <c r="G9" s="3">
        <v>1.0</v>
      </c>
    </row>
    <row r="10">
      <c r="A10" s="28">
        <v>46262.0</v>
      </c>
      <c r="B10" s="17"/>
      <c r="C10" s="17" t="s">
        <v>298</v>
      </c>
      <c r="D10" s="3" t="s">
        <v>42</v>
      </c>
      <c r="E10" s="3" t="s">
        <v>216</v>
      </c>
      <c r="F10" s="3" t="s">
        <v>255</v>
      </c>
      <c r="G10" s="3">
        <v>1.0</v>
      </c>
    </row>
    <row r="11">
      <c r="A11" s="28">
        <v>46265.0</v>
      </c>
      <c r="B11" s="17"/>
      <c r="C11" s="17" t="s">
        <v>299</v>
      </c>
      <c r="D11" s="3" t="s">
        <v>300</v>
      </c>
      <c r="E11" s="3" t="s">
        <v>25</v>
      </c>
      <c r="F11" s="3" t="s">
        <v>61</v>
      </c>
      <c r="G11" s="3">
        <v>1.0</v>
      </c>
    </row>
    <row r="12">
      <c r="A12" s="28">
        <v>46265.0</v>
      </c>
      <c r="B12" s="17"/>
      <c r="C12" s="17" t="s">
        <v>299</v>
      </c>
      <c r="D12" s="3" t="s">
        <v>300</v>
      </c>
      <c r="E12" s="3" t="s">
        <v>25</v>
      </c>
      <c r="F12" s="3" t="s">
        <v>257</v>
      </c>
      <c r="G12" s="3">
        <v>1.0</v>
      </c>
    </row>
    <row r="13">
      <c r="A13" s="28">
        <v>46265.0</v>
      </c>
      <c r="B13" s="17"/>
      <c r="C13" s="17" t="s">
        <v>301</v>
      </c>
      <c r="D13" s="3" t="s">
        <v>300</v>
      </c>
      <c r="E13" s="3" t="s">
        <v>25</v>
      </c>
      <c r="F13" s="3" t="s">
        <v>259</v>
      </c>
      <c r="G13" s="3">
        <v>2.0</v>
      </c>
    </row>
    <row r="14">
      <c r="A14" s="28">
        <v>46265.0</v>
      </c>
      <c r="B14" s="17"/>
      <c r="C14" s="17" t="s">
        <v>301</v>
      </c>
      <c r="D14" s="3" t="s">
        <v>300</v>
      </c>
      <c r="E14" s="3" t="s">
        <v>25</v>
      </c>
      <c r="F14" s="3" t="s">
        <v>97</v>
      </c>
      <c r="G14" s="3">
        <v>2.0</v>
      </c>
    </row>
    <row r="15">
      <c r="A15" s="28">
        <v>46265.0</v>
      </c>
      <c r="B15" s="17"/>
      <c r="C15" s="17" t="s">
        <v>301</v>
      </c>
      <c r="D15" s="3" t="s">
        <v>300</v>
      </c>
      <c r="E15" s="3" t="s">
        <v>25</v>
      </c>
      <c r="F15" s="3" t="s">
        <v>83</v>
      </c>
      <c r="G15" s="3">
        <v>1.0</v>
      </c>
    </row>
    <row r="16">
      <c r="A16" s="28">
        <v>46265.0</v>
      </c>
      <c r="B16" s="17"/>
      <c r="C16" s="17" t="s">
        <v>301</v>
      </c>
      <c r="D16" s="3" t="s">
        <v>300</v>
      </c>
      <c r="E16" s="3" t="s">
        <v>25</v>
      </c>
      <c r="F16" s="3" t="s">
        <v>178</v>
      </c>
      <c r="G16" s="3">
        <v>2.0</v>
      </c>
    </row>
    <row r="17">
      <c r="A17" s="28">
        <v>46266.0</v>
      </c>
      <c r="B17" s="17"/>
      <c r="C17" s="17" t="s">
        <v>302</v>
      </c>
      <c r="D17" s="3" t="s">
        <v>303</v>
      </c>
      <c r="E17" s="3" t="s">
        <v>226</v>
      </c>
      <c r="F17" s="3" t="s">
        <v>61</v>
      </c>
      <c r="G17" s="3">
        <v>2.0</v>
      </c>
    </row>
    <row r="18">
      <c r="A18" s="28">
        <v>46268.0</v>
      </c>
      <c r="B18" s="17"/>
      <c r="C18" s="17" t="s">
        <v>304</v>
      </c>
      <c r="D18" s="3" t="s">
        <v>305</v>
      </c>
      <c r="E18" s="3" t="s">
        <v>25</v>
      </c>
      <c r="F18" s="3" t="s">
        <v>232</v>
      </c>
      <c r="G18" s="3">
        <v>1.0</v>
      </c>
    </row>
    <row r="19">
      <c r="A19" s="28">
        <v>46268.0</v>
      </c>
      <c r="B19" s="17"/>
      <c r="C19" s="17" t="s">
        <v>304</v>
      </c>
      <c r="D19" s="3" t="s">
        <v>305</v>
      </c>
      <c r="E19" s="3" t="s">
        <v>25</v>
      </c>
      <c r="F19" s="3" t="s">
        <v>306</v>
      </c>
      <c r="G19" s="3">
        <v>1.0</v>
      </c>
    </row>
    <row r="20">
      <c r="A20" s="28">
        <v>46268.0</v>
      </c>
      <c r="B20" s="17"/>
      <c r="C20" s="17" t="s">
        <v>304</v>
      </c>
      <c r="D20" s="3" t="s">
        <v>305</v>
      </c>
      <c r="E20" s="3" t="s">
        <v>25</v>
      </c>
      <c r="F20" s="3" t="s">
        <v>307</v>
      </c>
      <c r="G20" s="3">
        <v>1.0</v>
      </c>
    </row>
    <row r="21">
      <c r="A21" s="28">
        <v>46268.0</v>
      </c>
      <c r="B21" s="17"/>
      <c r="C21" s="17" t="s">
        <v>304</v>
      </c>
      <c r="D21" s="3" t="s">
        <v>305</v>
      </c>
      <c r="E21" s="3" t="s">
        <v>25</v>
      </c>
      <c r="F21" s="3" t="s">
        <v>308</v>
      </c>
      <c r="G21" s="3">
        <v>1.0</v>
      </c>
    </row>
    <row r="22">
      <c r="A22" s="28">
        <v>46268.0</v>
      </c>
      <c r="B22" s="17"/>
      <c r="C22" s="17" t="s">
        <v>309</v>
      </c>
      <c r="D22" s="3" t="s">
        <v>92</v>
      </c>
      <c r="E22" s="3" t="s">
        <v>92</v>
      </c>
      <c r="F22" s="3" t="s">
        <v>308</v>
      </c>
      <c r="G22" s="3">
        <v>1.0</v>
      </c>
    </row>
    <row r="23">
      <c r="A23" s="28">
        <v>46268.0</v>
      </c>
      <c r="B23" s="17"/>
      <c r="C23" s="17" t="s">
        <v>310</v>
      </c>
      <c r="D23" s="3" t="s">
        <v>8</v>
      </c>
      <c r="E23" s="3" t="s">
        <v>8</v>
      </c>
      <c r="F23" s="3" t="s">
        <v>232</v>
      </c>
      <c r="G23" s="3">
        <v>2.0</v>
      </c>
    </row>
    <row r="24">
      <c r="A24" s="28">
        <v>46269.0</v>
      </c>
      <c r="B24" s="17"/>
      <c r="C24" s="17" t="s">
        <v>311</v>
      </c>
      <c r="D24" s="3" t="s">
        <v>312</v>
      </c>
      <c r="E24" s="3"/>
      <c r="F24" s="3" t="s">
        <v>306</v>
      </c>
      <c r="G24" s="3">
        <v>6.0</v>
      </c>
    </row>
    <row r="25">
      <c r="A25" s="28">
        <v>46269.0</v>
      </c>
      <c r="B25" s="17"/>
      <c r="C25" s="17" t="s">
        <v>311</v>
      </c>
      <c r="D25" s="3" t="s">
        <v>312</v>
      </c>
      <c r="E25" s="3"/>
      <c r="F25" s="3" t="s">
        <v>22</v>
      </c>
      <c r="G25" s="3">
        <v>1.0</v>
      </c>
    </row>
    <row r="26">
      <c r="A26" s="28">
        <v>46269.0</v>
      </c>
      <c r="B26" s="17"/>
      <c r="C26" s="17" t="s">
        <v>311</v>
      </c>
      <c r="D26" s="3" t="s">
        <v>312</v>
      </c>
      <c r="E26" s="3"/>
      <c r="F26" s="3" t="s">
        <v>83</v>
      </c>
      <c r="G26" s="3">
        <v>1.0</v>
      </c>
    </row>
    <row r="27">
      <c r="A27" s="28">
        <v>46269.0</v>
      </c>
      <c r="B27" s="17"/>
      <c r="C27" s="17" t="s">
        <v>311</v>
      </c>
      <c r="D27" s="3" t="s">
        <v>312</v>
      </c>
      <c r="E27" s="3"/>
      <c r="F27" s="3" t="s">
        <v>232</v>
      </c>
      <c r="G27" s="3">
        <v>1.0</v>
      </c>
    </row>
    <row r="28">
      <c r="A28" s="28">
        <v>46269.0</v>
      </c>
      <c r="B28" s="17"/>
      <c r="C28" s="17" t="s">
        <v>315</v>
      </c>
      <c r="D28" s="3" t="s">
        <v>9</v>
      </c>
      <c r="E28" s="3" t="s">
        <v>219</v>
      </c>
      <c r="F28" s="3" t="s">
        <v>83</v>
      </c>
      <c r="G28" s="3">
        <v>1.0</v>
      </c>
    </row>
    <row r="29">
      <c r="A29" s="28">
        <v>46269.0</v>
      </c>
      <c r="B29" s="17"/>
      <c r="C29" s="17" t="s">
        <v>315</v>
      </c>
      <c r="D29" s="3" t="s">
        <v>9</v>
      </c>
      <c r="E29" s="3" t="s">
        <v>219</v>
      </c>
      <c r="F29" s="3" t="s">
        <v>22</v>
      </c>
      <c r="G29" s="3">
        <v>2.0</v>
      </c>
    </row>
    <row r="30">
      <c r="A30" s="28">
        <v>46270.0</v>
      </c>
      <c r="B30" s="17"/>
      <c r="C30" s="17" t="s">
        <v>316</v>
      </c>
      <c r="D30" s="3" t="s">
        <v>182</v>
      </c>
      <c r="E30" s="3" t="s">
        <v>219</v>
      </c>
      <c r="F30" s="3" t="s">
        <v>83</v>
      </c>
      <c r="G30" s="3">
        <v>1.0</v>
      </c>
    </row>
    <row r="31">
      <c r="A31" s="28">
        <v>46270.0</v>
      </c>
      <c r="B31" s="17"/>
      <c r="C31" s="17" t="s">
        <v>316</v>
      </c>
      <c r="D31" s="3" t="s">
        <v>182</v>
      </c>
      <c r="E31" s="3" t="s">
        <v>219</v>
      </c>
      <c r="F31" s="3" t="s">
        <v>179</v>
      </c>
      <c r="G31" s="3">
        <v>1.0</v>
      </c>
    </row>
    <row r="32">
      <c r="A32" s="28">
        <v>46270.0</v>
      </c>
      <c r="B32" s="17"/>
      <c r="C32" s="17" t="s">
        <v>316</v>
      </c>
      <c r="D32" s="3" t="s">
        <v>182</v>
      </c>
      <c r="E32" s="3" t="s">
        <v>219</v>
      </c>
      <c r="F32" s="3" t="s">
        <v>317</v>
      </c>
      <c r="G32" s="3">
        <v>1.0</v>
      </c>
    </row>
    <row r="33">
      <c r="B33" s="18"/>
      <c r="C33" s="18"/>
    </row>
    <row r="34">
      <c r="B34" s="18"/>
      <c r="C34" s="18"/>
    </row>
    <row r="35">
      <c r="B35" s="18"/>
      <c r="C35" s="18"/>
    </row>
    <row r="36">
      <c r="B36" s="18"/>
      <c r="C36" s="18"/>
    </row>
    <row r="37">
      <c r="B37" s="18"/>
      <c r="C37" s="18"/>
    </row>
    <row r="38">
      <c r="B38" s="18"/>
      <c r="C38" s="18"/>
    </row>
    <row r="39">
      <c r="B39" s="18"/>
      <c r="C39" s="18"/>
    </row>
    <row r="40">
      <c r="B40" s="18"/>
      <c r="C40" s="18"/>
    </row>
    <row r="41">
      <c r="B41" s="18"/>
      <c r="C41" s="18"/>
    </row>
    <row r="42">
      <c r="B42" s="18"/>
      <c r="C42" s="18"/>
    </row>
    <row r="43">
      <c r="B43" s="18"/>
      <c r="C43" s="18"/>
    </row>
    <row r="44">
      <c r="B44" s="18"/>
      <c r="C44" s="18"/>
    </row>
    <row r="45">
      <c r="B45" s="18"/>
      <c r="C45" s="18"/>
    </row>
    <row r="46">
      <c r="B46" s="18"/>
      <c r="C46" s="18"/>
    </row>
    <row r="47">
      <c r="B47" s="18"/>
      <c r="C47" s="18"/>
    </row>
    <row r="48">
      <c r="B48" s="18"/>
      <c r="C48" s="18"/>
    </row>
    <row r="49">
      <c r="B49" s="18"/>
      <c r="C49" s="18"/>
    </row>
    <row r="50">
      <c r="B50" s="18"/>
      <c r="C50" s="18"/>
    </row>
    <row r="51">
      <c r="B51" s="18"/>
      <c r="C51" s="18"/>
    </row>
    <row r="52">
      <c r="B52" s="18"/>
      <c r="C52" s="18"/>
    </row>
    <row r="53">
      <c r="B53" s="18"/>
      <c r="C53" s="18"/>
    </row>
    <row r="54">
      <c r="B54" s="18"/>
      <c r="C54" s="18"/>
    </row>
    <row r="55">
      <c r="B55" s="18"/>
      <c r="C55" s="18"/>
    </row>
    <row r="56">
      <c r="B56" s="18"/>
      <c r="C56" s="18"/>
    </row>
    <row r="57">
      <c r="B57" s="18"/>
      <c r="C57" s="18"/>
    </row>
    <row r="58">
      <c r="B58" s="18"/>
      <c r="C58" s="18"/>
    </row>
    <row r="59">
      <c r="B59" s="18"/>
      <c r="C59" s="18"/>
    </row>
    <row r="60">
      <c r="B60" s="18"/>
      <c r="C60" s="18"/>
    </row>
    <row r="61">
      <c r="B61" s="18"/>
      <c r="C61" s="18"/>
    </row>
    <row r="62">
      <c r="B62" s="18"/>
      <c r="C62" s="18"/>
    </row>
    <row r="63">
      <c r="B63" s="18"/>
      <c r="C63" s="18"/>
    </row>
    <row r="64">
      <c r="B64" s="18"/>
      <c r="C64" s="18"/>
    </row>
    <row r="65">
      <c r="B65" s="18"/>
      <c r="C65" s="18"/>
    </row>
    <row r="66">
      <c r="B66" s="18"/>
      <c r="C66" s="18"/>
    </row>
    <row r="67">
      <c r="B67" s="18"/>
      <c r="C67" s="18"/>
    </row>
    <row r="68">
      <c r="B68" s="18"/>
      <c r="C68" s="18"/>
    </row>
    <row r="69">
      <c r="B69" s="18"/>
      <c r="C69" s="18"/>
    </row>
    <row r="70">
      <c r="B70" s="18"/>
      <c r="C70" s="18"/>
    </row>
    <row r="71">
      <c r="B71" s="18"/>
      <c r="C71" s="18"/>
    </row>
    <row r="72">
      <c r="B72" s="18"/>
      <c r="C72" s="18"/>
    </row>
    <row r="73">
      <c r="B73" s="18"/>
      <c r="C73" s="18"/>
    </row>
    <row r="74">
      <c r="B74" s="18"/>
      <c r="C74" s="18"/>
    </row>
    <row r="75">
      <c r="B75" s="18"/>
      <c r="C75" s="18"/>
    </row>
    <row r="76">
      <c r="B76" s="18"/>
      <c r="C76" s="18"/>
    </row>
    <row r="77">
      <c r="B77" s="18"/>
      <c r="C77" s="18"/>
    </row>
    <row r="78">
      <c r="B78" s="18"/>
      <c r="C78" s="18"/>
    </row>
    <row r="79">
      <c r="B79" s="18"/>
      <c r="C79" s="18"/>
    </row>
    <row r="80">
      <c r="B80" s="18"/>
      <c r="C80" s="18"/>
    </row>
    <row r="81">
      <c r="B81" s="18"/>
      <c r="C81" s="18"/>
    </row>
    <row r="82">
      <c r="B82" s="18"/>
      <c r="C82" s="18"/>
    </row>
    <row r="83">
      <c r="B83" s="18"/>
      <c r="C83" s="18"/>
    </row>
    <row r="84">
      <c r="B84" s="18"/>
      <c r="C84" s="18"/>
    </row>
    <row r="85">
      <c r="B85" s="18"/>
      <c r="C85" s="18"/>
    </row>
    <row r="86">
      <c r="B86" s="18"/>
      <c r="C86" s="18"/>
    </row>
    <row r="87">
      <c r="B87" s="18"/>
      <c r="C87" s="18"/>
    </row>
    <row r="88">
      <c r="B88" s="18"/>
      <c r="C88" s="18"/>
    </row>
    <row r="89">
      <c r="B89" s="18"/>
      <c r="C89" s="18"/>
    </row>
    <row r="90">
      <c r="B90" s="18"/>
      <c r="C90" s="18"/>
    </row>
    <row r="91">
      <c r="B91" s="18"/>
      <c r="C91" s="18"/>
    </row>
    <row r="92">
      <c r="B92" s="18"/>
      <c r="C92" s="18"/>
    </row>
    <row r="93">
      <c r="B93" s="18"/>
      <c r="C93" s="18"/>
    </row>
    <row r="94">
      <c r="B94" s="18"/>
      <c r="C94" s="18"/>
    </row>
    <row r="95">
      <c r="B95" s="18"/>
      <c r="C95" s="18"/>
    </row>
    <row r="96">
      <c r="B96" s="18"/>
      <c r="C96" s="18"/>
    </row>
    <row r="97">
      <c r="B97" s="18"/>
      <c r="C97" s="18"/>
    </row>
    <row r="98">
      <c r="B98" s="18"/>
      <c r="C98" s="18"/>
    </row>
    <row r="99">
      <c r="B99" s="18"/>
      <c r="C99" s="18"/>
    </row>
    <row r="100">
      <c r="B100" s="18"/>
      <c r="C100" s="18"/>
    </row>
    <row r="101">
      <c r="B101" s="18"/>
      <c r="C101" s="18"/>
    </row>
    <row r="102">
      <c r="B102" s="18"/>
      <c r="C102" s="18"/>
    </row>
    <row r="103">
      <c r="B103" s="18"/>
      <c r="C103" s="18"/>
    </row>
    <row r="104">
      <c r="B104" s="18"/>
      <c r="C104" s="18"/>
    </row>
    <row r="105">
      <c r="B105" s="18"/>
      <c r="C105" s="18"/>
    </row>
    <row r="106">
      <c r="B106" s="18"/>
      <c r="C106" s="18"/>
    </row>
    <row r="107">
      <c r="B107" s="18"/>
      <c r="C107" s="18"/>
    </row>
    <row r="108">
      <c r="B108" s="18"/>
      <c r="C108" s="18"/>
    </row>
    <row r="109">
      <c r="B109" s="18"/>
      <c r="C109" s="18"/>
    </row>
    <row r="110">
      <c r="B110" s="18"/>
      <c r="C110" s="18"/>
    </row>
    <row r="111">
      <c r="B111" s="18"/>
      <c r="C111" s="18"/>
    </row>
    <row r="112">
      <c r="B112" s="18"/>
      <c r="C112" s="18"/>
    </row>
    <row r="113">
      <c r="B113" s="18"/>
      <c r="C113" s="18"/>
    </row>
    <row r="114">
      <c r="B114" s="18"/>
      <c r="C114" s="18"/>
    </row>
    <row r="115">
      <c r="B115" s="18"/>
      <c r="C115" s="18"/>
    </row>
    <row r="116">
      <c r="B116" s="18"/>
      <c r="C116" s="18"/>
    </row>
    <row r="117">
      <c r="B117" s="18"/>
      <c r="C117" s="18"/>
    </row>
    <row r="118">
      <c r="B118" s="18"/>
      <c r="C118" s="18"/>
    </row>
    <row r="119">
      <c r="B119" s="18"/>
      <c r="C119" s="18"/>
    </row>
    <row r="120">
      <c r="B120" s="18"/>
      <c r="C120" s="18"/>
    </row>
    <row r="121">
      <c r="B121" s="18"/>
      <c r="C121" s="18"/>
    </row>
    <row r="122">
      <c r="B122" s="18"/>
      <c r="C122" s="18"/>
    </row>
    <row r="123">
      <c r="B123" s="18"/>
      <c r="C123" s="18"/>
    </row>
    <row r="124">
      <c r="B124" s="18"/>
      <c r="C124" s="18"/>
    </row>
    <row r="125">
      <c r="B125" s="18"/>
      <c r="C125" s="18"/>
    </row>
    <row r="126">
      <c r="B126" s="18"/>
      <c r="C126" s="18"/>
    </row>
    <row r="127">
      <c r="B127" s="18"/>
      <c r="C127" s="18"/>
    </row>
    <row r="128">
      <c r="B128" s="18"/>
      <c r="C128" s="18"/>
    </row>
    <row r="129">
      <c r="B129" s="18"/>
      <c r="C129" s="18"/>
    </row>
    <row r="130">
      <c r="B130" s="18"/>
      <c r="C130" s="18"/>
    </row>
    <row r="131">
      <c r="B131" s="18"/>
      <c r="C131" s="18"/>
    </row>
    <row r="132">
      <c r="B132" s="18"/>
      <c r="C132" s="18"/>
    </row>
    <row r="133">
      <c r="B133" s="18"/>
      <c r="C133" s="18"/>
    </row>
    <row r="134">
      <c r="B134" s="18"/>
      <c r="C134" s="18"/>
    </row>
    <row r="135">
      <c r="B135" s="18"/>
      <c r="C135" s="18"/>
    </row>
    <row r="136">
      <c r="B136" s="18"/>
      <c r="C136" s="18"/>
    </row>
    <row r="137">
      <c r="B137" s="18"/>
      <c r="C137" s="18"/>
    </row>
    <row r="138">
      <c r="B138" s="18"/>
      <c r="C138" s="18"/>
    </row>
    <row r="139">
      <c r="B139" s="18"/>
      <c r="C139" s="18"/>
    </row>
    <row r="140">
      <c r="B140" s="18"/>
      <c r="C140" s="18"/>
    </row>
    <row r="141">
      <c r="B141" s="18"/>
      <c r="C141" s="18"/>
    </row>
    <row r="142">
      <c r="B142" s="18"/>
      <c r="C142" s="18"/>
    </row>
    <row r="143">
      <c r="B143" s="18"/>
      <c r="C143" s="18"/>
    </row>
    <row r="144">
      <c r="B144" s="18"/>
      <c r="C144" s="18"/>
    </row>
    <row r="145">
      <c r="B145" s="18"/>
      <c r="C145" s="18"/>
    </row>
    <row r="146">
      <c r="B146" s="18"/>
      <c r="C146" s="18"/>
    </row>
    <row r="147">
      <c r="B147" s="18"/>
      <c r="C147" s="18"/>
    </row>
    <row r="148">
      <c r="B148" s="18"/>
      <c r="C148" s="18"/>
    </row>
    <row r="149">
      <c r="B149" s="18"/>
      <c r="C149" s="18"/>
    </row>
    <row r="150">
      <c r="B150" s="18"/>
      <c r="C150" s="18"/>
    </row>
    <row r="151">
      <c r="B151" s="18"/>
      <c r="C151" s="18"/>
    </row>
    <row r="152">
      <c r="B152" s="18"/>
      <c r="C152" s="18"/>
    </row>
    <row r="153">
      <c r="B153" s="18"/>
      <c r="C153" s="18"/>
    </row>
    <row r="154">
      <c r="B154" s="18"/>
      <c r="C154" s="18"/>
    </row>
    <row r="155">
      <c r="B155" s="18"/>
      <c r="C155" s="18"/>
    </row>
    <row r="156">
      <c r="B156" s="18"/>
      <c r="C156" s="18"/>
    </row>
    <row r="157">
      <c r="B157" s="18"/>
      <c r="C157" s="18"/>
    </row>
    <row r="158">
      <c r="B158" s="18"/>
      <c r="C158" s="18"/>
    </row>
    <row r="159">
      <c r="B159" s="18"/>
      <c r="C159" s="18"/>
    </row>
    <row r="160">
      <c r="B160" s="18"/>
      <c r="C160" s="18"/>
    </row>
    <row r="161">
      <c r="B161" s="18"/>
      <c r="C161" s="18"/>
    </row>
    <row r="162">
      <c r="B162" s="18"/>
      <c r="C162" s="18"/>
    </row>
    <row r="163">
      <c r="B163" s="18"/>
      <c r="C163" s="18"/>
    </row>
    <row r="164">
      <c r="B164" s="18"/>
      <c r="C164" s="18"/>
    </row>
    <row r="165">
      <c r="B165" s="18"/>
      <c r="C165" s="18"/>
    </row>
    <row r="166">
      <c r="B166" s="18"/>
      <c r="C166" s="18"/>
    </row>
    <row r="167">
      <c r="B167" s="18"/>
      <c r="C167" s="18"/>
    </row>
    <row r="168">
      <c r="B168" s="18"/>
      <c r="C168" s="18"/>
    </row>
    <row r="169">
      <c r="B169" s="18"/>
      <c r="C169" s="18"/>
    </row>
    <row r="170">
      <c r="B170" s="18"/>
      <c r="C170" s="18"/>
    </row>
    <row r="171">
      <c r="B171" s="18"/>
      <c r="C171" s="18"/>
    </row>
    <row r="172">
      <c r="B172" s="18"/>
      <c r="C172" s="18"/>
    </row>
    <row r="173">
      <c r="B173" s="18"/>
      <c r="C173" s="18"/>
    </row>
    <row r="174">
      <c r="B174" s="18"/>
      <c r="C174" s="18"/>
    </row>
    <row r="175">
      <c r="B175" s="18"/>
      <c r="C175" s="18"/>
    </row>
    <row r="176">
      <c r="B176" s="18"/>
      <c r="C176" s="18"/>
    </row>
    <row r="177">
      <c r="B177" s="18"/>
      <c r="C177" s="18"/>
    </row>
    <row r="178">
      <c r="B178" s="18"/>
      <c r="C178" s="18"/>
    </row>
    <row r="179">
      <c r="B179" s="18"/>
      <c r="C179" s="18"/>
    </row>
    <row r="180">
      <c r="B180" s="18"/>
      <c r="C180" s="18"/>
    </row>
    <row r="181">
      <c r="B181" s="18"/>
      <c r="C181" s="18"/>
    </row>
    <row r="182">
      <c r="B182" s="18"/>
      <c r="C182" s="18"/>
    </row>
    <row r="183">
      <c r="B183" s="18"/>
      <c r="C183" s="18"/>
    </row>
    <row r="184">
      <c r="B184" s="18"/>
      <c r="C184" s="18"/>
    </row>
    <row r="185">
      <c r="B185" s="18"/>
      <c r="C185" s="18"/>
    </row>
    <row r="186">
      <c r="B186" s="18"/>
      <c r="C186" s="18"/>
    </row>
    <row r="187">
      <c r="B187" s="18"/>
      <c r="C187" s="18"/>
    </row>
    <row r="188">
      <c r="B188" s="18"/>
      <c r="C188" s="18"/>
    </row>
    <row r="189">
      <c r="B189" s="18"/>
      <c r="C189" s="18"/>
    </row>
    <row r="190">
      <c r="B190" s="18"/>
      <c r="C190" s="18"/>
    </row>
    <row r="191">
      <c r="B191" s="18"/>
      <c r="C191" s="18"/>
    </row>
    <row r="192">
      <c r="B192" s="18"/>
      <c r="C192" s="18"/>
    </row>
    <row r="193">
      <c r="B193" s="18"/>
      <c r="C193" s="18"/>
    </row>
    <row r="194">
      <c r="B194" s="18"/>
      <c r="C194" s="18"/>
    </row>
    <row r="195">
      <c r="B195" s="18"/>
      <c r="C195" s="18"/>
    </row>
    <row r="196">
      <c r="B196" s="18"/>
      <c r="C196" s="18"/>
    </row>
    <row r="197">
      <c r="B197" s="18"/>
      <c r="C197" s="18"/>
    </row>
    <row r="198">
      <c r="B198" s="18"/>
      <c r="C198" s="18"/>
    </row>
    <row r="199">
      <c r="B199" s="18"/>
      <c r="C199" s="18"/>
    </row>
    <row r="200">
      <c r="B200" s="18"/>
      <c r="C200" s="18"/>
    </row>
    <row r="201">
      <c r="B201" s="18"/>
      <c r="C201" s="18"/>
    </row>
    <row r="202">
      <c r="B202" s="18"/>
      <c r="C202" s="18"/>
    </row>
    <row r="203">
      <c r="B203" s="18"/>
      <c r="C203" s="18"/>
    </row>
    <row r="204">
      <c r="B204" s="18"/>
      <c r="C204" s="18"/>
    </row>
    <row r="205">
      <c r="B205" s="18"/>
      <c r="C205" s="18"/>
    </row>
    <row r="206">
      <c r="B206" s="18"/>
      <c r="C206" s="18"/>
    </row>
    <row r="207">
      <c r="B207" s="18"/>
      <c r="C207" s="18"/>
    </row>
    <row r="208">
      <c r="B208" s="18"/>
      <c r="C208" s="18"/>
    </row>
    <row r="209">
      <c r="B209" s="18"/>
      <c r="C209" s="18"/>
    </row>
    <row r="210">
      <c r="B210" s="18"/>
      <c r="C210" s="18"/>
    </row>
    <row r="211">
      <c r="B211" s="18"/>
      <c r="C211" s="18"/>
    </row>
    <row r="212">
      <c r="B212" s="18"/>
      <c r="C212" s="18"/>
    </row>
    <row r="213">
      <c r="B213" s="18"/>
      <c r="C213" s="18"/>
    </row>
    <row r="214">
      <c r="B214" s="18"/>
      <c r="C214" s="18"/>
    </row>
    <row r="215">
      <c r="B215" s="18"/>
      <c r="C215" s="18"/>
    </row>
    <row r="216">
      <c r="B216" s="18"/>
      <c r="C216" s="18"/>
    </row>
    <row r="217">
      <c r="B217" s="18"/>
      <c r="C217" s="18"/>
    </row>
    <row r="218">
      <c r="B218" s="18"/>
      <c r="C218" s="18"/>
    </row>
    <row r="219">
      <c r="B219" s="18"/>
      <c r="C219" s="18"/>
    </row>
    <row r="220">
      <c r="B220" s="18"/>
      <c r="C220" s="18"/>
    </row>
    <row r="221">
      <c r="B221" s="18"/>
      <c r="C221" s="18"/>
    </row>
    <row r="222">
      <c r="B222" s="18"/>
      <c r="C222" s="18"/>
    </row>
    <row r="223">
      <c r="B223" s="18"/>
      <c r="C223" s="18"/>
    </row>
    <row r="224">
      <c r="B224" s="18"/>
      <c r="C224" s="18"/>
    </row>
    <row r="225">
      <c r="B225" s="18"/>
      <c r="C225" s="18"/>
    </row>
    <row r="226">
      <c r="B226" s="18"/>
      <c r="C226" s="18"/>
    </row>
    <row r="227">
      <c r="B227" s="18"/>
      <c r="C227" s="18"/>
    </row>
    <row r="228">
      <c r="B228" s="18"/>
      <c r="C228" s="18"/>
    </row>
    <row r="229">
      <c r="B229" s="18"/>
      <c r="C229" s="18"/>
    </row>
    <row r="230">
      <c r="B230" s="18"/>
      <c r="C230" s="18"/>
    </row>
    <row r="231">
      <c r="B231" s="18"/>
      <c r="C231" s="18"/>
    </row>
    <row r="232">
      <c r="B232" s="18"/>
      <c r="C232" s="18"/>
    </row>
    <row r="233">
      <c r="B233" s="18"/>
      <c r="C233" s="18"/>
    </row>
    <row r="234">
      <c r="B234" s="18"/>
      <c r="C234" s="18"/>
    </row>
    <row r="235">
      <c r="B235" s="18"/>
      <c r="C235" s="18"/>
    </row>
    <row r="236">
      <c r="B236" s="18"/>
      <c r="C236" s="18"/>
    </row>
    <row r="237">
      <c r="B237" s="18"/>
      <c r="C237" s="18"/>
    </row>
    <row r="238">
      <c r="B238" s="18"/>
      <c r="C238" s="18"/>
    </row>
    <row r="239">
      <c r="B239" s="18"/>
      <c r="C239" s="18"/>
    </row>
    <row r="240">
      <c r="B240" s="18"/>
      <c r="C240" s="18"/>
    </row>
    <row r="241">
      <c r="B241" s="18"/>
      <c r="C241" s="18"/>
    </row>
    <row r="242">
      <c r="B242" s="18"/>
      <c r="C242" s="18"/>
    </row>
    <row r="243">
      <c r="B243" s="18"/>
      <c r="C243" s="18"/>
    </row>
    <row r="244">
      <c r="B244" s="18"/>
      <c r="C244" s="18"/>
    </row>
    <row r="245">
      <c r="B245" s="18"/>
      <c r="C245" s="18"/>
    </row>
    <row r="246">
      <c r="B246" s="18"/>
      <c r="C246" s="18"/>
    </row>
    <row r="247">
      <c r="B247" s="18"/>
      <c r="C247" s="18"/>
    </row>
    <row r="248">
      <c r="B248" s="18"/>
      <c r="C248" s="18"/>
    </row>
    <row r="249">
      <c r="B249" s="18"/>
      <c r="C249" s="18"/>
    </row>
    <row r="250">
      <c r="B250" s="18"/>
      <c r="C250" s="18"/>
    </row>
    <row r="251">
      <c r="B251" s="18"/>
      <c r="C251" s="18"/>
    </row>
    <row r="252">
      <c r="B252" s="18"/>
      <c r="C252" s="18"/>
    </row>
    <row r="253">
      <c r="B253" s="18"/>
      <c r="C253" s="18"/>
    </row>
    <row r="254">
      <c r="B254" s="18"/>
      <c r="C254" s="18"/>
    </row>
    <row r="255">
      <c r="B255" s="18"/>
      <c r="C255" s="18"/>
    </row>
    <row r="256">
      <c r="B256" s="18"/>
      <c r="C256" s="18"/>
    </row>
    <row r="257">
      <c r="B257" s="18"/>
      <c r="C257" s="18"/>
    </row>
    <row r="258">
      <c r="B258" s="18"/>
      <c r="C258" s="18"/>
    </row>
    <row r="259">
      <c r="B259" s="18"/>
      <c r="C259" s="18"/>
    </row>
    <row r="260">
      <c r="B260" s="18"/>
      <c r="C260" s="18"/>
    </row>
    <row r="261">
      <c r="B261" s="18"/>
      <c r="C261" s="18"/>
    </row>
    <row r="262">
      <c r="B262" s="18"/>
      <c r="C262" s="18"/>
    </row>
    <row r="263">
      <c r="B263" s="18"/>
      <c r="C263" s="18"/>
    </row>
    <row r="264">
      <c r="B264" s="18"/>
      <c r="C264" s="18"/>
    </row>
    <row r="265">
      <c r="B265" s="18"/>
      <c r="C265" s="18"/>
    </row>
    <row r="266">
      <c r="B266" s="18"/>
      <c r="C266" s="18"/>
    </row>
    <row r="267">
      <c r="B267" s="18"/>
      <c r="C267" s="18"/>
    </row>
    <row r="268">
      <c r="B268" s="18"/>
      <c r="C268" s="18"/>
    </row>
    <row r="269">
      <c r="B269" s="18"/>
      <c r="C269" s="18"/>
    </row>
    <row r="270">
      <c r="B270" s="18"/>
      <c r="C270" s="18"/>
    </row>
    <row r="271">
      <c r="B271" s="18"/>
      <c r="C271" s="18"/>
    </row>
    <row r="272">
      <c r="B272" s="18"/>
      <c r="C272" s="18"/>
    </row>
    <row r="273">
      <c r="B273" s="18"/>
      <c r="C273" s="18"/>
    </row>
    <row r="274">
      <c r="B274" s="18"/>
      <c r="C274" s="18"/>
    </row>
    <row r="275">
      <c r="B275" s="18"/>
      <c r="C275" s="18"/>
    </row>
    <row r="276">
      <c r="B276" s="18"/>
      <c r="C276" s="18"/>
    </row>
    <row r="277">
      <c r="B277" s="18"/>
      <c r="C277" s="18"/>
    </row>
    <row r="278">
      <c r="B278" s="18"/>
      <c r="C278" s="18"/>
    </row>
    <row r="279">
      <c r="B279" s="18"/>
      <c r="C279" s="18"/>
    </row>
    <row r="280">
      <c r="B280" s="18"/>
      <c r="C280" s="18"/>
    </row>
    <row r="281">
      <c r="B281" s="18"/>
      <c r="C281" s="18"/>
    </row>
    <row r="282">
      <c r="B282" s="18"/>
      <c r="C282" s="18"/>
    </row>
    <row r="283">
      <c r="B283" s="18"/>
      <c r="C283" s="18"/>
    </row>
    <row r="284">
      <c r="B284" s="18"/>
      <c r="C284" s="18"/>
    </row>
    <row r="285">
      <c r="B285" s="18"/>
      <c r="C285" s="18"/>
    </row>
    <row r="286">
      <c r="B286" s="18"/>
      <c r="C286" s="18"/>
    </row>
    <row r="287">
      <c r="B287" s="18"/>
      <c r="C287" s="18"/>
    </row>
    <row r="288">
      <c r="B288" s="18"/>
      <c r="C288" s="18"/>
    </row>
    <row r="289">
      <c r="B289" s="18"/>
      <c r="C289" s="18"/>
    </row>
    <row r="290">
      <c r="B290" s="18"/>
      <c r="C290" s="18"/>
    </row>
    <row r="291">
      <c r="B291" s="18"/>
      <c r="C291" s="18"/>
    </row>
    <row r="292">
      <c r="B292" s="18"/>
      <c r="C292" s="18"/>
    </row>
    <row r="293">
      <c r="B293" s="18"/>
      <c r="C293" s="18"/>
    </row>
    <row r="294">
      <c r="B294" s="18"/>
      <c r="C294" s="18"/>
    </row>
    <row r="295">
      <c r="B295" s="18"/>
      <c r="C295" s="18"/>
    </row>
    <row r="296">
      <c r="B296" s="18"/>
      <c r="C296" s="18"/>
    </row>
    <row r="297">
      <c r="B297" s="18"/>
      <c r="C297" s="18"/>
    </row>
    <row r="298">
      <c r="B298" s="18"/>
      <c r="C298" s="18"/>
    </row>
    <row r="299">
      <c r="B299" s="18"/>
      <c r="C299" s="18"/>
    </row>
    <row r="300">
      <c r="B300" s="18"/>
      <c r="C300" s="18"/>
    </row>
    <row r="301">
      <c r="B301" s="18"/>
      <c r="C301" s="18"/>
    </row>
    <row r="302">
      <c r="B302" s="18"/>
      <c r="C302" s="18"/>
    </row>
    <row r="303">
      <c r="B303" s="18"/>
      <c r="C303" s="18"/>
    </row>
    <row r="304">
      <c r="B304" s="18"/>
      <c r="C304" s="18"/>
    </row>
    <row r="305">
      <c r="B305" s="18"/>
      <c r="C305" s="18"/>
    </row>
    <row r="306">
      <c r="B306" s="18"/>
      <c r="C306" s="18"/>
    </row>
    <row r="307">
      <c r="B307" s="18"/>
      <c r="C307" s="18"/>
    </row>
    <row r="308">
      <c r="B308" s="18"/>
      <c r="C308" s="18"/>
    </row>
    <row r="309">
      <c r="B309" s="18"/>
      <c r="C309" s="18"/>
    </row>
    <row r="310">
      <c r="B310" s="18"/>
      <c r="C310" s="18"/>
    </row>
    <row r="311">
      <c r="B311" s="18"/>
      <c r="C311" s="18"/>
    </row>
    <row r="312">
      <c r="B312" s="18"/>
      <c r="C312" s="18"/>
    </row>
    <row r="313">
      <c r="B313" s="18"/>
      <c r="C313" s="18"/>
    </row>
    <row r="314">
      <c r="B314" s="18"/>
      <c r="C314" s="18"/>
    </row>
    <row r="315">
      <c r="B315" s="18"/>
      <c r="C315" s="18"/>
    </row>
    <row r="316">
      <c r="B316" s="18"/>
      <c r="C316" s="18"/>
    </row>
    <row r="317">
      <c r="B317" s="18"/>
      <c r="C317" s="18"/>
    </row>
    <row r="318">
      <c r="B318" s="18"/>
      <c r="C318" s="18"/>
    </row>
    <row r="319">
      <c r="B319" s="18"/>
      <c r="C319" s="18"/>
    </row>
    <row r="320">
      <c r="B320" s="18"/>
      <c r="C320" s="18"/>
    </row>
    <row r="321">
      <c r="B321" s="18"/>
      <c r="C321" s="18"/>
    </row>
    <row r="322">
      <c r="B322" s="18"/>
      <c r="C322" s="18"/>
    </row>
    <row r="323">
      <c r="B323" s="18"/>
      <c r="C323" s="18"/>
    </row>
    <row r="324">
      <c r="B324" s="18"/>
      <c r="C324" s="18"/>
    </row>
    <row r="325">
      <c r="B325" s="18"/>
      <c r="C325" s="18"/>
    </row>
    <row r="326">
      <c r="B326" s="18"/>
      <c r="C326" s="18"/>
    </row>
    <row r="327">
      <c r="B327" s="18"/>
      <c r="C327" s="18"/>
    </row>
    <row r="328">
      <c r="B328" s="18"/>
      <c r="C328" s="18"/>
    </row>
    <row r="329">
      <c r="B329" s="18"/>
      <c r="C329" s="18"/>
    </row>
    <row r="330">
      <c r="B330" s="18"/>
      <c r="C330" s="18"/>
    </row>
    <row r="331">
      <c r="B331" s="18"/>
      <c r="C331" s="18"/>
    </row>
    <row r="332">
      <c r="B332" s="18"/>
      <c r="C332" s="18"/>
    </row>
    <row r="333">
      <c r="B333" s="18"/>
      <c r="C333" s="18"/>
    </row>
    <row r="334">
      <c r="B334" s="18"/>
      <c r="C334" s="18"/>
    </row>
    <row r="335">
      <c r="B335" s="18"/>
      <c r="C335" s="18"/>
    </row>
    <row r="336">
      <c r="B336" s="18"/>
      <c r="C336" s="18"/>
    </row>
    <row r="337">
      <c r="B337" s="18"/>
      <c r="C337" s="18"/>
    </row>
    <row r="338">
      <c r="B338" s="18"/>
      <c r="C338" s="18"/>
    </row>
    <row r="339">
      <c r="B339" s="18"/>
      <c r="C339" s="18"/>
    </row>
    <row r="340">
      <c r="B340" s="18"/>
      <c r="C340" s="18"/>
    </row>
    <row r="341">
      <c r="B341" s="18"/>
      <c r="C341" s="18"/>
    </row>
    <row r="342">
      <c r="B342" s="18"/>
      <c r="C342" s="18"/>
    </row>
    <row r="343">
      <c r="B343" s="18"/>
      <c r="C343" s="18"/>
    </row>
    <row r="344">
      <c r="B344" s="18"/>
      <c r="C344" s="18"/>
    </row>
    <row r="345">
      <c r="B345" s="18"/>
      <c r="C345" s="18"/>
    </row>
    <row r="346">
      <c r="B346" s="18"/>
      <c r="C346" s="18"/>
    </row>
    <row r="347">
      <c r="B347" s="18"/>
      <c r="C347" s="18"/>
    </row>
    <row r="348">
      <c r="B348" s="18"/>
      <c r="C348" s="18"/>
    </row>
    <row r="349">
      <c r="B349" s="18"/>
      <c r="C349" s="18"/>
    </row>
    <row r="350">
      <c r="B350" s="18"/>
      <c r="C350" s="18"/>
    </row>
    <row r="351">
      <c r="B351" s="18"/>
      <c r="C351" s="18"/>
    </row>
    <row r="352">
      <c r="B352" s="18"/>
      <c r="C352" s="18"/>
    </row>
    <row r="353">
      <c r="B353" s="18"/>
      <c r="C353" s="18"/>
    </row>
    <row r="354">
      <c r="B354" s="18"/>
      <c r="C354" s="18"/>
    </row>
    <row r="355">
      <c r="B355" s="18"/>
      <c r="C355" s="18"/>
    </row>
    <row r="356">
      <c r="B356" s="18"/>
      <c r="C356" s="18"/>
    </row>
    <row r="357">
      <c r="B357" s="18"/>
      <c r="C357" s="18"/>
    </row>
    <row r="358">
      <c r="B358" s="18"/>
      <c r="C358" s="18"/>
    </row>
    <row r="359">
      <c r="B359" s="18"/>
      <c r="C359" s="18"/>
    </row>
    <row r="360">
      <c r="B360" s="18"/>
      <c r="C360" s="18"/>
    </row>
    <row r="361">
      <c r="B361" s="18"/>
      <c r="C361" s="18"/>
    </row>
    <row r="362">
      <c r="B362" s="18"/>
      <c r="C362" s="18"/>
    </row>
    <row r="363">
      <c r="B363" s="18"/>
      <c r="C363" s="18"/>
    </row>
    <row r="364">
      <c r="B364" s="18"/>
      <c r="C364" s="18"/>
    </row>
    <row r="365">
      <c r="B365" s="18"/>
      <c r="C365" s="18"/>
    </row>
    <row r="366">
      <c r="B366" s="18"/>
      <c r="C366" s="18"/>
    </row>
    <row r="367">
      <c r="B367" s="18"/>
      <c r="C367" s="18"/>
    </row>
    <row r="368">
      <c r="B368" s="18"/>
      <c r="C368" s="18"/>
    </row>
    <row r="369">
      <c r="B369" s="18"/>
      <c r="C369" s="18"/>
    </row>
    <row r="370">
      <c r="B370" s="18"/>
      <c r="C370" s="18"/>
    </row>
    <row r="371">
      <c r="B371" s="18"/>
      <c r="C371" s="18"/>
    </row>
    <row r="372">
      <c r="B372" s="18"/>
      <c r="C372" s="18"/>
    </row>
    <row r="373">
      <c r="B373" s="18"/>
      <c r="C373" s="18"/>
    </row>
    <row r="374">
      <c r="B374" s="18"/>
      <c r="C374" s="18"/>
    </row>
    <row r="375">
      <c r="B375" s="18"/>
      <c r="C375" s="18"/>
    </row>
    <row r="376">
      <c r="B376" s="18"/>
      <c r="C376" s="18"/>
    </row>
    <row r="377">
      <c r="B377" s="18"/>
      <c r="C377" s="18"/>
    </row>
    <row r="378">
      <c r="B378" s="18"/>
      <c r="C378" s="18"/>
    </row>
    <row r="379">
      <c r="B379" s="18"/>
      <c r="C379" s="18"/>
    </row>
    <row r="380">
      <c r="B380" s="18"/>
      <c r="C380" s="18"/>
    </row>
    <row r="381">
      <c r="B381" s="18"/>
      <c r="C381" s="18"/>
    </row>
    <row r="382">
      <c r="B382" s="18"/>
      <c r="C382" s="18"/>
    </row>
    <row r="383">
      <c r="B383" s="18"/>
      <c r="C383" s="18"/>
    </row>
    <row r="384">
      <c r="B384" s="18"/>
      <c r="C384" s="18"/>
    </row>
    <row r="385">
      <c r="B385" s="18"/>
      <c r="C385" s="18"/>
    </row>
    <row r="386">
      <c r="B386" s="18"/>
      <c r="C386" s="18"/>
    </row>
    <row r="387">
      <c r="B387" s="18"/>
      <c r="C387" s="18"/>
    </row>
    <row r="388">
      <c r="B388" s="18"/>
      <c r="C388" s="18"/>
    </row>
    <row r="389">
      <c r="B389" s="18"/>
      <c r="C389" s="18"/>
    </row>
    <row r="390">
      <c r="B390" s="18"/>
      <c r="C390" s="18"/>
    </row>
    <row r="391">
      <c r="B391" s="18"/>
      <c r="C391" s="18"/>
    </row>
    <row r="392">
      <c r="B392" s="18"/>
      <c r="C392" s="18"/>
    </row>
    <row r="393">
      <c r="B393" s="18"/>
      <c r="C393" s="18"/>
    </row>
    <row r="394">
      <c r="B394" s="18"/>
      <c r="C394" s="18"/>
    </row>
    <row r="395">
      <c r="B395" s="18"/>
      <c r="C395" s="18"/>
    </row>
    <row r="396">
      <c r="B396" s="18"/>
      <c r="C396" s="18"/>
    </row>
    <row r="397">
      <c r="B397" s="18"/>
      <c r="C397" s="18"/>
    </row>
    <row r="398">
      <c r="B398" s="18"/>
      <c r="C398" s="18"/>
    </row>
    <row r="399">
      <c r="B399" s="18"/>
      <c r="C399" s="18"/>
    </row>
    <row r="400">
      <c r="B400" s="18"/>
      <c r="C400" s="18"/>
    </row>
    <row r="401">
      <c r="B401" s="18"/>
      <c r="C401" s="18"/>
    </row>
    <row r="402">
      <c r="B402" s="18"/>
      <c r="C402" s="18"/>
    </row>
    <row r="403">
      <c r="B403" s="18"/>
      <c r="C403" s="18"/>
    </row>
    <row r="404">
      <c r="B404" s="18"/>
      <c r="C404" s="18"/>
    </row>
    <row r="405">
      <c r="B405" s="18"/>
      <c r="C405" s="18"/>
    </row>
    <row r="406">
      <c r="B406" s="18"/>
      <c r="C406" s="18"/>
    </row>
    <row r="407">
      <c r="B407" s="18"/>
      <c r="C407" s="18"/>
    </row>
    <row r="408">
      <c r="B408" s="18"/>
      <c r="C408" s="18"/>
    </row>
    <row r="409">
      <c r="B409" s="18"/>
      <c r="C409" s="18"/>
    </row>
    <row r="410">
      <c r="B410" s="18"/>
      <c r="C410" s="18"/>
    </row>
    <row r="411">
      <c r="B411" s="18"/>
      <c r="C411" s="18"/>
    </row>
    <row r="412">
      <c r="B412" s="18"/>
      <c r="C412" s="18"/>
    </row>
    <row r="413">
      <c r="B413" s="18"/>
      <c r="C413" s="18"/>
    </row>
    <row r="414">
      <c r="B414" s="18"/>
      <c r="C414" s="18"/>
    </row>
    <row r="415">
      <c r="B415" s="18"/>
      <c r="C415" s="18"/>
    </row>
    <row r="416">
      <c r="B416" s="18"/>
      <c r="C416" s="18"/>
    </row>
    <row r="417">
      <c r="B417" s="18"/>
      <c r="C417" s="18"/>
    </row>
    <row r="418">
      <c r="B418" s="18"/>
      <c r="C418" s="18"/>
    </row>
    <row r="419">
      <c r="B419" s="18"/>
      <c r="C419" s="18"/>
    </row>
    <row r="420">
      <c r="B420" s="18"/>
      <c r="C420" s="18"/>
    </row>
    <row r="421">
      <c r="B421" s="18"/>
      <c r="C421" s="18"/>
    </row>
    <row r="422">
      <c r="B422" s="18"/>
      <c r="C422" s="18"/>
    </row>
    <row r="423">
      <c r="B423" s="18"/>
      <c r="C423" s="18"/>
    </row>
    <row r="424">
      <c r="B424" s="18"/>
      <c r="C424" s="18"/>
    </row>
    <row r="425">
      <c r="B425" s="18"/>
      <c r="C425" s="18"/>
    </row>
    <row r="426">
      <c r="B426" s="18"/>
      <c r="C426" s="18"/>
    </row>
    <row r="427">
      <c r="B427" s="18"/>
      <c r="C427" s="18"/>
    </row>
    <row r="428">
      <c r="B428" s="18"/>
      <c r="C428" s="18"/>
    </row>
    <row r="429">
      <c r="B429" s="18"/>
      <c r="C429" s="18"/>
    </row>
    <row r="430">
      <c r="B430" s="18"/>
      <c r="C430" s="18"/>
    </row>
    <row r="431">
      <c r="B431" s="18"/>
      <c r="C431" s="18"/>
    </row>
    <row r="432">
      <c r="B432" s="18"/>
      <c r="C432" s="18"/>
    </row>
    <row r="433">
      <c r="B433" s="18"/>
      <c r="C433" s="18"/>
    </row>
    <row r="434">
      <c r="B434" s="18"/>
      <c r="C434" s="18"/>
    </row>
    <row r="435">
      <c r="B435" s="18"/>
      <c r="C435" s="18"/>
    </row>
    <row r="436">
      <c r="B436" s="18"/>
      <c r="C436" s="18"/>
    </row>
    <row r="437">
      <c r="B437" s="18"/>
      <c r="C437" s="18"/>
    </row>
    <row r="438">
      <c r="B438" s="18"/>
      <c r="C438" s="18"/>
    </row>
    <row r="439">
      <c r="B439" s="18"/>
      <c r="C439" s="18"/>
    </row>
    <row r="440">
      <c r="B440" s="18"/>
      <c r="C440" s="18"/>
    </row>
    <row r="441">
      <c r="B441" s="18"/>
      <c r="C441" s="18"/>
    </row>
    <row r="442">
      <c r="B442" s="18"/>
      <c r="C442" s="18"/>
    </row>
    <row r="443">
      <c r="B443" s="18"/>
      <c r="C443" s="18"/>
    </row>
    <row r="444">
      <c r="B444" s="18"/>
      <c r="C444" s="18"/>
    </row>
    <row r="445">
      <c r="B445" s="18"/>
      <c r="C445" s="18"/>
    </row>
    <row r="446">
      <c r="B446" s="18"/>
      <c r="C446" s="18"/>
    </row>
    <row r="447">
      <c r="B447" s="18"/>
      <c r="C447" s="18"/>
    </row>
    <row r="448">
      <c r="B448" s="18"/>
      <c r="C448" s="18"/>
    </row>
    <row r="449">
      <c r="B449" s="18"/>
      <c r="C449" s="18"/>
    </row>
    <row r="450">
      <c r="B450" s="18"/>
      <c r="C450" s="18"/>
    </row>
    <row r="451">
      <c r="B451" s="18"/>
      <c r="C451" s="18"/>
    </row>
    <row r="452">
      <c r="B452" s="18"/>
      <c r="C452" s="18"/>
    </row>
    <row r="453">
      <c r="B453" s="18"/>
      <c r="C453" s="18"/>
    </row>
    <row r="454">
      <c r="B454" s="18"/>
      <c r="C454" s="18"/>
    </row>
    <row r="455">
      <c r="B455" s="18"/>
      <c r="C455" s="18"/>
    </row>
    <row r="456">
      <c r="B456" s="18"/>
      <c r="C456" s="18"/>
    </row>
    <row r="457">
      <c r="B457" s="18"/>
      <c r="C457" s="18"/>
    </row>
    <row r="458">
      <c r="B458" s="18"/>
      <c r="C458" s="18"/>
    </row>
    <row r="459">
      <c r="B459" s="18"/>
      <c r="C459" s="18"/>
    </row>
    <row r="460">
      <c r="B460" s="18"/>
      <c r="C460" s="18"/>
    </row>
    <row r="461">
      <c r="B461" s="18"/>
      <c r="C461" s="18"/>
    </row>
    <row r="462">
      <c r="B462" s="18"/>
      <c r="C462" s="18"/>
    </row>
    <row r="463">
      <c r="B463" s="18"/>
      <c r="C463" s="18"/>
    </row>
    <row r="464">
      <c r="B464" s="18"/>
      <c r="C464" s="18"/>
    </row>
    <row r="465">
      <c r="B465" s="18"/>
      <c r="C465" s="18"/>
    </row>
    <row r="466">
      <c r="B466" s="18"/>
      <c r="C466" s="18"/>
    </row>
    <row r="467">
      <c r="B467" s="18"/>
      <c r="C467" s="18"/>
    </row>
    <row r="468">
      <c r="B468" s="18"/>
      <c r="C468" s="18"/>
    </row>
    <row r="469">
      <c r="B469" s="18"/>
      <c r="C469" s="18"/>
    </row>
    <row r="470">
      <c r="B470" s="18"/>
      <c r="C470" s="18"/>
    </row>
    <row r="471">
      <c r="B471" s="18"/>
      <c r="C471" s="18"/>
    </row>
    <row r="472">
      <c r="B472" s="18"/>
      <c r="C472" s="18"/>
    </row>
    <row r="473">
      <c r="B473" s="18"/>
      <c r="C473" s="18"/>
    </row>
    <row r="474">
      <c r="B474" s="18"/>
      <c r="C474" s="18"/>
    </row>
    <row r="475">
      <c r="B475" s="18"/>
      <c r="C475" s="18"/>
    </row>
    <row r="476">
      <c r="B476" s="18"/>
      <c r="C476" s="18"/>
    </row>
    <row r="477">
      <c r="B477" s="18"/>
      <c r="C477" s="18"/>
    </row>
    <row r="478">
      <c r="B478" s="18"/>
      <c r="C478" s="18"/>
    </row>
    <row r="479">
      <c r="B479" s="18"/>
      <c r="C479" s="18"/>
    </row>
    <row r="480">
      <c r="B480" s="18"/>
      <c r="C480" s="18"/>
    </row>
    <row r="481">
      <c r="B481" s="18"/>
      <c r="C481" s="18"/>
    </row>
    <row r="482">
      <c r="B482" s="18"/>
      <c r="C482" s="18"/>
    </row>
    <row r="483">
      <c r="B483" s="18"/>
      <c r="C483" s="18"/>
    </row>
    <row r="484">
      <c r="B484" s="18"/>
      <c r="C484" s="18"/>
    </row>
    <row r="485">
      <c r="B485" s="18"/>
      <c r="C485" s="18"/>
    </row>
    <row r="486">
      <c r="B486" s="18"/>
      <c r="C486" s="18"/>
    </row>
    <row r="487">
      <c r="B487" s="18"/>
      <c r="C487" s="18"/>
    </row>
    <row r="488">
      <c r="B488" s="18"/>
      <c r="C488" s="18"/>
    </row>
    <row r="489">
      <c r="B489" s="18"/>
      <c r="C489" s="18"/>
    </row>
    <row r="490">
      <c r="B490" s="18"/>
      <c r="C490" s="18"/>
    </row>
    <row r="491">
      <c r="B491" s="18"/>
      <c r="C491" s="18"/>
    </row>
    <row r="492">
      <c r="B492" s="18"/>
      <c r="C492" s="18"/>
    </row>
    <row r="493">
      <c r="B493" s="18"/>
      <c r="C493" s="18"/>
    </row>
    <row r="494">
      <c r="B494" s="18"/>
      <c r="C494" s="18"/>
    </row>
    <row r="495">
      <c r="B495" s="18"/>
      <c r="C495" s="18"/>
    </row>
    <row r="496">
      <c r="B496" s="18"/>
      <c r="C496" s="18"/>
    </row>
    <row r="497">
      <c r="B497" s="18"/>
      <c r="C497" s="18"/>
    </row>
    <row r="498">
      <c r="B498" s="18"/>
      <c r="C498" s="18"/>
    </row>
    <row r="499">
      <c r="B499" s="18"/>
      <c r="C499" s="18"/>
    </row>
    <row r="500">
      <c r="B500" s="18"/>
      <c r="C500" s="18"/>
    </row>
    <row r="501">
      <c r="B501" s="18"/>
      <c r="C501" s="18"/>
    </row>
    <row r="502">
      <c r="B502" s="18"/>
      <c r="C502" s="18"/>
    </row>
    <row r="503">
      <c r="B503" s="18"/>
      <c r="C503" s="18"/>
    </row>
    <row r="504">
      <c r="B504" s="18"/>
      <c r="C504" s="18"/>
    </row>
    <row r="505">
      <c r="B505" s="18"/>
      <c r="C505" s="18"/>
    </row>
    <row r="506">
      <c r="B506" s="18"/>
      <c r="C506" s="18"/>
    </row>
    <row r="507">
      <c r="B507" s="18"/>
      <c r="C507" s="18"/>
    </row>
    <row r="508">
      <c r="B508" s="18"/>
      <c r="C508" s="18"/>
    </row>
    <row r="509">
      <c r="B509" s="18"/>
      <c r="C509" s="18"/>
    </row>
    <row r="510">
      <c r="B510" s="18"/>
      <c r="C510" s="18"/>
    </row>
    <row r="511">
      <c r="B511" s="18"/>
      <c r="C511" s="18"/>
    </row>
    <row r="512">
      <c r="B512" s="18"/>
      <c r="C512" s="18"/>
    </row>
    <row r="513">
      <c r="B513" s="18"/>
      <c r="C513" s="18"/>
    </row>
    <row r="514">
      <c r="B514" s="18"/>
      <c r="C514" s="18"/>
    </row>
    <row r="515">
      <c r="B515" s="18"/>
      <c r="C515" s="18"/>
    </row>
    <row r="516">
      <c r="B516" s="18"/>
      <c r="C516" s="18"/>
    </row>
    <row r="517">
      <c r="B517" s="18"/>
      <c r="C517" s="18"/>
    </row>
    <row r="518">
      <c r="B518" s="18"/>
      <c r="C518" s="18"/>
    </row>
    <row r="519">
      <c r="B519" s="18"/>
      <c r="C519" s="18"/>
    </row>
    <row r="520">
      <c r="B520" s="18"/>
      <c r="C520" s="18"/>
    </row>
    <row r="521">
      <c r="B521" s="18"/>
      <c r="C521" s="18"/>
    </row>
    <row r="522">
      <c r="B522" s="18"/>
      <c r="C522" s="18"/>
    </row>
    <row r="523">
      <c r="B523" s="18"/>
      <c r="C523" s="18"/>
    </row>
    <row r="524">
      <c r="B524" s="18"/>
      <c r="C524" s="18"/>
    </row>
    <row r="525">
      <c r="B525" s="18"/>
      <c r="C525" s="18"/>
    </row>
    <row r="526">
      <c r="B526" s="18"/>
      <c r="C526" s="18"/>
    </row>
    <row r="527">
      <c r="B527" s="18"/>
      <c r="C527" s="18"/>
    </row>
    <row r="528">
      <c r="B528" s="18"/>
      <c r="C528" s="18"/>
    </row>
    <row r="529">
      <c r="B529" s="18"/>
      <c r="C529" s="18"/>
    </row>
    <row r="530">
      <c r="B530" s="18"/>
      <c r="C530" s="18"/>
    </row>
    <row r="531">
      <c r="B531" s="18"/>
      <c r="C531" s="18"/>
    </row>
    <row r="532">
      <c r="B532" s="18"/>
      <c r="C532" s="18"/>
    </row>
    <row r="533">
      <c r="B533" s="18"/>
      <c r="C533" s="18"/>
    </row>
    <row r="534">
      <c r="B534" s="18"/>
      <c r="C534" s="18"/>
    </row>
    <row r="535">
      <c r="B535" s="18"/>
      <c r="C535" s="18"/>
    </row>
    <row r="536">
      <c r="B536" s="18"/>
      <c r="C536" s="18"/>
    </row>
    <row r="537">
      <c r="B537" s="18"/>
      <c r="C537" s="18"/>
    </row>
    <row r="538">
      <c r="B538" s="18"/>
      <c r="C538" s="18"/>
    </row>
    <row r="539">
      <c r="B539" s="18"/>
      <c r="C539" s="18"/>
    </row>
    <row r="540">
      <c r="B540" s="18"/>
      <c r="C540" s="18"/>
    </row>
    <row r="541">
      <c r="B541" s="18"/>
      <c r="C541" s="18"/>
    </row>
    <row r="542">
      <c r="B542" s="18"/>
      <c r="C542" s="18"/>
    </row>
    <row r="543">
      <c r="B543" s="18"/>
      <c r="C543" s="18"/>
    </row>
    <row r="544">
      <c r="B544" s="18"/>
      <c r="C544" s="18"/>
    </row>
    <row r="545">
      <c r="B545" s="18"/>
      <c r="C545" s="18"/>
    </row>
    <row r="546">
      <c r="B546" s="18"/>
      <c r="C546" s="18"/>
    </row>
    <row r="547">
      <c r="B547" s="18"/>
      <c r="C547" s="18"/>
    </row>
    <row r="548">
      <c r="B548" s="18"/>
      <c r="C548" s="18"/>
    </row>
    <row r="549">
      <c r="B549" s="18"/>
      <c r="C549" s="18"/>
    </row>
    <row r="550">
      <c r="B550" s="18"/>
      <c r="C550" s="18"/>
    </row>
    <row r="551">
      <c r="B551" s="18"/>
      <c r="C551" s="18"/>
    </row>
    <row r="552">
      <c r="B552" s="18"/>
      <c r="C552" s="18"/>
    </row>
    <row r="553">
      <c r="B553" s="18"/>
      <c r="C553" s="18"/>
    </row>
    <row r="554">
      <c r="B554" s="18"/>
      <c r="C554" s="18"/>
    </row>
    <row r="555">
      <c r="B555" s="18"/>
      <c r="C555" s="18"/>
    </row>
    <row r="556">
      <c r="B556" s="18"/>
      <c r="C556" s="18"/>
    </row>
    <row r="557">
      <c r="B557" s="18"/>
      <c r="C557" s="18"/>
    </row>
    <row r="558">
      <c r="B558" s="18"/>
      <c r="C558" s="18"/>
    </row>
    <row r="559">
      <c r="B559" s="18"/>
      <c r="C559" s="18"/>
    </row>
    <row r="560">
      <c r="B560" s="18"/>
      <c r="C560" s="18"/>
    </row>
    <row r="561">
      <c r="B561" s="18"/>
      <c r="C561" s="18"/>
    </row>
    <row r="562">
      <c r="B562" s="18"/>
      <c r="C562" s="18"/>
    </row>
    <row r="563">
      <c r="B563" s="18"/>
      <c r="C563" s="18"/>
    </row>
    <row r="564">
      <c r="B564" s="18"/>
      <c r="C564" s="18"/>
    </row>
    <row r="565">
      <c r="B565" s="18"/>
      <c r="C565" s="18"/>
    </row>
    <row r="566">
      <c r="B566" s="18"/>
      <c r="C566" s="18"/>
    </row>
    <row r="567">
      <c r="B567" s="18"/>
      <c r="C567" s="18"/>
    </row>
    <row r="568">
      <c r="B568" s="18"/>
      <c r="C568" s="18"/>
    </row>
    <row r="569">
      <c r="B569" s="18"/>
      <c r="C569" s="18"/>
    </row>
    <row r="570">
      <c r="B570" s="18"/>
      <c r="C570" s="18"/>
    </row>
    <row r="571">
      <c r="B571" s="18"/>
      <c r="C571" s="18"/>
    </row>
    <row r="572">
      <c r="B572" s="18"/>
      <c r="C572" s="18"/>
    </row>
    <row r="573">
      <c r="B573" s="18"/>
      <c r="C573" s="18"/>
    </row>
    <row r="574">
      <c r="B574" s="18"/>
      <c r="C574" s="18"/>
    </row>
    <row r="575">
      <c r="B575" s="18"/>
      <c r="C575" s="18"/>
    </row>
    <row r="576">
      <c r="B576" s="18"/>
      <c r="C576" s="18"/>
    </row>
    <row r="577">
      <c r="B577" s="18"/>
      <c r="C577" s="18"/>
    </row>
    <row r="578">
      <c r="B578" s="18"/>
      <c r="C578" s="18"/>
    </row>
    <row r="579">
      <c r="B579" s="18"/>
      <c r="C579" s="18"/>
    </row>
    <row r="580">
      <c r="B580" s="18"/>
      <c r="C580" s="18"/>
    </row>
    <row r="581">
      <c r="B581" s="18"/>
      <c r="C581" s="18"/>
    </row>
    <row r="582">
      <c r="B582" s="18"/>
      <c r="C582" s="18"/>
    </row>
    <row r="583">
      <c r="B583" s="18"/>
      <c r="C583" s="18"/>
    </row>
    <row r="584">
      <c r="B584" s="18"/>
      <c r="C584" s="18"/>
    </row>
    <row r="585">
      <c r="B585" s="18"/>
      <c r="C585" s="18"/>
    </row>
    <row r="586">
      <c r="B586" s="18"/>
      <c r="C586" s="18"/>
    </row>
    <row r="587">
      <c r="B587" s="18"/>
      <c r="C587" s="18"/>
    </row>
    <row r="588">
      <c r="B588" s="18"/>
      <c r="C588" s="18"/>
    </row>
    <row r="589">
      <c r="B589" s="18"/>
      <c r="C589" s="18"/>
    </row>
    <row r="590">
      <c r="B590" s="18"/>
      <c r="C590" s="18"/>
    </row>
    <row r="591">
      <c r="B591" s="18"/>
      <c r="C591" s="18"/>
    </row>
    <row r="592">
      <c r="B592" s="18"/>
      <c r="C592" s="18"/>
    </row>
    <row r="593">
      <c r="B593" s="18"/>
      <c r="C593" s="18"/>
    </row>
    <row r="594">
      <c r="B594" s="18"/>
      <c r="C594" s="18"/>
    </row>
    <row r="595">
      <c r="B595" s="18"/>
      <c r="C595" s="18"/>
    </row>
    <row r="596">
      <c r="B596" s="18"/>
      <c r="C596" s="18"/>
    </row>
    <row r="597">
      <c r="B597" s="18"/>
      <c r="C597" s="18"/>
    </row>
    <row r="598">
      <c r="B598" s="18"/>
      <c r="C598" s="18"/>
    </row>
    <row r="599">
      <c r="B599" s="18"/>
      <c r="C599" s="18"/>
    </row>
    <row r="600">
      <c r="B600" s="18"/>
      <c r="C600" s="18"/>
    </row>
    <row r="601">
      <c r="B601" s="18"/>
      <c r="C601" s="18"/>
    </row>
    <row r="602">
      <c r="B602" s="18"/>
      <c r="C602" s="18"/>
    </row>
    <row r="603">
      <c r="B603" s="18"/>
      <c r="C603" s="18"/>
    </row>
    <row r="604">
      <c r="B604" s="18"/>
      <c r="C604" s="18"/>
    </row>
    <row r="605">
      <c r="B605" s="18"/>
      <c r="C605" s="18"/>
    </row>
    <row r="606">
      <c r="B606" s="18"/>
      <c r="C606" s="18"/>
    </row>
    <row r="607">
      <c r="B607" s="18"/>
      <c r="C607" s="18"/>
    </row>
    <row r="608">
      <c r="B608" s="18"/>
      <c r="C608" s="18"/>
    </row>
    <row r="609">
      <c r="B609" s="18"/>
      <c r="C609" s="18"/>
    </row>
    <row r="610">
      <c r="B610" s="18"/>
      <c r="C610" s="18"/>
    </row>
    <row r="611">
      <c r="B611" s="18"/>
      <c r="C611" s="18"/>
    </row>
    <row r="612">
      <c r="B612" s="18"/>
      <c r="C612" s="18"/>
    </row>
    <row r="613">
      <c r="B613" s="18"/>
      <c r="C613" s="18"/>
    </row>
    <row r="614">
      <c r="B614" s="18"/>
      <c r="C614" s="18"/>
    </row>
    <row r="615">
      <c r="B615" s="18"/>
      <c r="C615" s="18"/>
    </row>
    <row r="616">
      <c r="B616" s="18"/>
      <c r="C616" s="18"/>
    </row>
    <row r="617">
      <c r="B617" s="18"/>
      <c r="C617" s="18"/>
    </row>
    <row r="618">
      <c r="B618" s="18"/>
      <c r="C618" s="18"/>
    </row>
    <row r="619">
      <c r="B619" s="18"/>
      <c r="C619" s="18"/>
    </row>
    <row r="620">
      <c r="B620" s="18"/>
      <c r="C620" s="18"/>
    </row>
    <row r="621">
      <c r="B621" s="18"/>
      <c r="C621" s="18"/>
    </row>
    <row r="622">
      <c r="B622" s="18"/>
      <c r="C622" s="18"/>
    </row>
    <row r="623">
      <c r="B623" s="18"/>
      <c r="C623" s="18"/>
    </row>
    <row r="624">
      <c r="B624" s="18"/>
      <c r="C624" s="18"/>
    </row>
    <row r="625">
      <c r="B625" s="18"/>
      <c r="C625" s="18"/>
    </row>
    <row r="626">
      <c r="B626" s="18"/>
      <c r="C626" s="18"/>
    </row>
    <row r="627">
      <c r="B627" s="18"/>
      <c r="C627" s="18"/>
    </row>
    <row r="628">
      <c r="B628" s="18"/>
      <c r="C628" s="18"/>
    </row>
    <row r="629">
      <c r="B629" s="18"/>
      <c r="C629" s="18"/>
    </row>
    <row r="630">
      <c r="B630" s="18"/>
      <c r="C630" s="18"/>
    </row>
    <row r="631">
      <c r="B631" s="18"/>
      <c r="C631" s="18"/>
    </row>
    <row r="632">
      <c r="B632" s="18"/>
      <c r="C632" s="18"/>
    </row>
    <row r="633">
      <c r="B633" s="18"/>
      <c r="C633" s="18"/>
    </row>
    <row r="634">
      <c r="B634" s="18"/>
      <c r="C634" s="18"/>
    </row>
    <row r="635">
      <c r="B635" s="18"/>
      <c r="C635" s="18"/>
    </row>
    <row r="636">
      <c r="B636" s="18"/>
      <c r="C636" s="18"/>
    </row>
    <row r="637">
      <c r="B637" s="18"/>
      <c r="C637" s="18"/>
    </row>
    <row r="638">
      <c r="B638" s="18"/>
      <c r="C638" s="18"/>
    </row>
    <row r="639">
      <c r="B639" s="18"/>
      <c r="C639" s="18"/>
    </row>
    <row r="640">
      <c r="B640" s="18"/>
      <c r="C640" s="18"/>
    </row>
    <row r="641">
      <c r="B641" s="18"/>
      <c r="C641" s="18"/>
    </row>
    <row r="642">
      <c r="B642" s="18"/>
      <c r="C642" s="18"/>
    </row>
    <row r="643">
      <c r="B643" s="18"/>
      <c r="C643" s="18"/>
    </row>
    <row r="644">
      <c r="B644" s="18"/>
      <c r="C644" s="18"/>
    </row>
    <row r="645">
      <c r="B645" s="18"/>
      <c r="C645" s="18"/>
    </row>
    <row r="646">
      <c r="B646" s="18"/>
      <c r="C646" s="18"/>
    </row>
    <row r="647">
      <c r="B647" s="18"/>
      <c r="C647" s="18"/>
    </row>
    <row r="648">
      <c r="B648" s="18"/>
      <c r="C648" s="18"/>
    </row>
    <row r="649">
      <c r="B649" s="18"/>
      <c r="C649" s="18"/>
    </row>
    <row r="650">
      <c r="B650" s="18"/>
      <c r="C650" s="18"/>
    </row>
    <row r="651">
      <c r="B651" s="18"/>
      <c r="C651" s="18"/>
    </row>
    <row r="652">
      <c r="B652" s="18"/>
      <c r="C652" s="18"/>
    </row>
    <row r="653">
      <c r="B653" s="18"/>
      <c r="C653" s="18"/>
    </row>
    <row r="654">
      <c r="B654" s="18"/>
      <c r="C654" s="18"/>
    </row>
    <row r="655">
      <c r="B655" s="18"/>
      <c r="C655" s="18"/>
    </row>
    <row r="656">
      <c r="B656" s="18"/>
      <c r="C656" s="18"/>
    </row>
    <row r="657">
      <c r="B657" s="18"/>
      <c r="C657" s="18"/>
    </row>
    <row r="658">
      <c r="B658" s="18"/>
      <c r="C658" s="18"/>
    </row>
    <row r="659">
      <c r="B659" s="18"/>
      <c r="C659" s="18"/>
    </row>
    <row r="660">
      <c r="B660" s="18"/>
      <c r="C660" s="18"/>
    </row>
    <row r="661">
      <c r="B661" s="18"/>
      <c r="C661" s="18"/>
    </row>
    <row r="662">
      <c r="B662" s="18"/>
      <c r="C662" s="18"/>
    </row>
    <row r="663">
      <c r="B663" s="18"/>
      <c r="C663" s="18"/>
    </row>
    <row r="664">
      <c r="B664" s="18"/>
      <c r="C664" s="18"/>
    </row>
    <row r="665">
      <c r="B665" s="18"/>
      <c r="C665" s="18"/>
    </row>
    <row r="666">
      <c r="B666" s="18"/>
      <c r="C666" s="18"/>
    </row>
    <row r="667">
      <c r="B667" s="18"/>
      <c r="C667" s="18"/>
    </row>
    <row r="668">
      <c r="B668" s="18"/>
      <c r="C668" s="18"/>
    </row>
    <row r="669">
      <c r="B669" s="18"/>
      <c r="C669" s="18"/>
    </row>
    <row r="670">
      <c r="B670" s="18"/>
      <c r="C670" s="18"/>
    </row>
    <row r="671">
      <c r="B671" s="18"/>
      <c r="C671" s="18"/>
    </row>
    <row r="672">
      <c r="B672" s="18"/>
      <c r="C672" s="18"/>
    </row>
    <row r="673">
      <c r="B673" s="18"/>
      <c r="C673" s="18"/>
    </row>
    <row r="674">
      <c r="B674" s="18"/>
      <c r="C674" s="18"/>
    </row>
    <row r="675">
      <c r="B675" s="18"/>
      <c r="C675" s="18"/>
    </row>
    <row r="676">
      <c r="B676" s="18"/>
      <c r="C676" s="18"/>
    </row>
    <row r="677">
      <c r="B677" s="18"/>
      <c r="C677" s="18"/>
    </row>
    <row r="678">
      <c r="B678" s="18"/>
      <c r="C678" s="18"/>
    </row>
    <row r="679">
      <c r="B679" s="18"/>
      <c r="C679" s="18"/>
    </row>
    <row r="680">
      <c r="B680" s="18"/>
      <c r="C680" s="18"/>
    </row>
    <row r="681">
      <c r="B681" s="18"/>
      <c r="C681" s="18"/>
    </row>
    <row r="682">
      <c r="B682" s="18"/>
      <c r="C682" s="18"/>
    </row>
    <row r="683">
      <c r="B683" s="18"/>
      <c r="C683" s="18"/>
    </row>
    <row r="684">
      <c r="B684" s="18"/>
      <c r="C684" s="18"/>
    </row>
    <row r="685">
      <c r="B685" s="18"/>
      <c r="C685" s="18"/>
    </row>
    <row r="686">
      <c r="B686" s="18"/>
      <c r="C686" s="18"/>
    </row>
    <row r="687">
      <c r="B687" s="18"/>
      <c r="C687" s="18"/>
    </row>
    <row r="688">
      <c r="B688" s="18"/>
      <c r="C688" s="18"/>
    </row>
    <row r="689">
      <c r="B689" s="18"/>
      <c r="C689" s="18"/>
    </row>
    <row r="690">
      <c r="B690" s="18"/>
      <c r="C690" s="18"/>
    </row>
    <row r="691">
      <c r="B691" s="18"/>
      <c r="C691" s="18"/>
    </row>
    <row r="692">
      <c r="B692" s="18"/>
      <c r="C692" s="18"/>
    </row>
    <row r="693">
      <c r="B693" s="18"/>
      <c r="C693" s="18"/>
    </row>
    <row r="694">
      <c r="B694" s="18"/>
      <c r="C694" s="18"/>
    </row>
    <row r="695">
      <c r="B695" s="18"/>
      <c r="C695" s="18"/>
    </row>
    <row r="696">
      <c r="B696" s="18"/>
      <c r="C696" s="18"/>
    </row>
    <row r="697">
      <c r="B697" s="18"/>
      <c r="C697" s="18"/>
    </row>
    <row r="698">
      <c r="B698" s="18"/>
      <c r="C698" s="18"/>
    </row>
    <row r="699">
      <c r="B699" s="18"/>
      <c r="C699" s="18"/>
    </row>
    <row r="700">
      <c r="B700" s="18"/>
      <c r="C700" s="18"/>
    </row>
    <row r="701">
      <c r="B701" s="18"/>
      <c r="C701" s="18"/>
    </row>
    <row r="702">
      <c r="B702" s="18"/>
      <c r="C702" s="18"/>
    </row>
    <row r="703">
      <c r="B703" s="18"/>
      <c r="C703" s="18"/>
    </row>
    <row r="704">
      <c r="B704" s="18"/>
      <c r="C704" s="18"/>
    </row>
    <row r="705">
      <c r="B705" s="18"/>
      <c r="C705" s="18"/>
    </row>
    <row r="706">
      <c r="B706" s="18"/>
      <c r="C706" s="18"/>
    </row>
    <row r="707">
      <c r="B707" s="18"/>
      <c r="C707" s="18"/>
    </row>
    <row r="708">
      <c r="B708" s="18"/>
      <c r="C708" s="18"/>
    </row>
    <row r="709">
      <c r="B709" s="18"/>
      <c r="C709" s="18"/>
    </row>
    <row r="710">
      <c r="B710" s="18"/>
      <c r="C710" s="18"/>
    </row>
    <row r="711">
      <c r="B711" s="18"/>
      <c r="C711" s="18"/>
    </row>
    <row r="712">
      <c r="B712" s="18"/>
      <c r="C712" s="18"/>
    </row>
    <row r="713">
      <c r="B713" s="18"/>
      <c r="C713" s="18"/>
    </row>
    <row r="714">
      <c r="B714" s="18"/>
      <c r="C714" s="18"/>
    </row>
    <row r="715">
      <c r="B715" s="18"/>
      <c r="C715" s="18"/>
    </row>
    <row r="716">
      <c r="B716" s="18"/>
      <c r="C716" s="18"/>
    </row>
    <row r="717">
      <c r="B717" s="18"/>
      <c r="C717" s="18"/>
    </row>
    <row r="718">
      <c r="B718" s="18"/>
      <c r="C718" s="18"/>
    </row>
    <row r="719">
      <c r="B719" s="18"/>
      <c r="C719" s="18"/>
    </row>
    <row r="720">
      <c r="B720" s="18"/>
      <c r="C720" s="18"/>
    </row>
    <row r="721">
      <c r="B721" s="18"/>
      <c r="C721" s="18"/>
    </row>
    <row r="722">
      <c r="B722" s="18"/>
      <c r="C722" s="18"/>
    </row>
    <row r="723">
      <c r="B723" s="18"/>
      <c r="C723" s="18"/>
    </row>
    <row r="724">
      <c r="B724" s="18"/>
      <c r="C724" s="18"/>
    </row>
    <row r="725">
      <c r="B725" s="18"/>
      <c r="C725" s="18"/>
    </row>
    <row r="726">
      <c r="B726" s="18"/>
      <c r="C726" s="18"/>
    </row>
    <row r="727">
      <c r="B727" s="18"/>
      <c r="C727" s="18"/>
    </row>
    <row r="728">
      <c r="B728" s="18"/>
      <c r="C728" s="18"/>
    </row>
    <row r="729">
      <c r="B729" s="18"/>
      <c r="C729" s="18"/>
    </row>
    <row r="730">
      <c r="B730" s="18"/>
      <c r="C730" s="18"/>
    </row>
    <row r="731">
      <c r="B731" s="18"/>
      <c r="C731" s="18"/>
    </row>
    <row r="732">
      <c r="B732" s="18"/>
      <c r="C732" s="18"/>
    </row>
    <row r="733">
      <c r="B733" s="18"/>
      <c r="C733" s="18"/>
    </row>
    <row r="734">
      <c r="B734" s="18"/>
      <c r="C734" s="18"/>
    </row>
    <row r="735">
      <c r="B735" s="18"/>
      <c r="C735" s="18"/>
    </row>
    <row r="736">
      <c r="B736" s="18"/>
      <c r="C736" s="18"/>
    </row>
    <row r="737">
      <c r="B737" s="18"/>
      <c r="C737" s="18"/>
    </row>
    <row r="738">
      <c r="B738" s="18"/>
      <c r="C738" s="18"/>
    </row>
    <row r="739">
      <c r="B739" s="18"/>
      <c r="C739" s="18"/>
    </row>
    <row r="740">
      <c r="B740" s="18"/>
      <c r="C740" s="18"/>
    </row>
    <row r="741">
      <c r="B741" s="18"/>
      <c r="C741" s="18"/>
    </row>
    <row r="742">
      <c r="B742" s="18"/>
      <c r="C742" s="18"/>
    </row>
    <row r="743">
      <c r="B743" s="18"/>
      <c r="C743" s="18"/>
    </row>
    <row r="744">
      <c r="B744" s="18"/>
      <c r="C744" s="18"/>
    </row>
    <row r="745">
      <c r="B745" s="18"/>
      <c r="C745" s="18"/>
    </row>
    <row r="746">
      <c r="B746" s="18"/>
      <c r="C746" s="18"/>
    </row>
    <row r="747">
      <c r="B747" s="18"/>
      <c r="C747" s="18"/>
    </row>
    <row r="748">
      <c r="B748" s="18"/>
      <c r="C748" s="18"/>
    </row>
    <row r="749">
      <c r="B749" s="18"/>
      <c r="C749" s="18"/>
    </row>
    <row r="750">
      <c r="B750" s="18"/>
      <c r="C750" s="18"/>
    </row>
    <row r="751">
      <c r="B751" s="18"/>
      <c r="C751" s="18"/>
    </row>
    <row r="752">
      <c r="B752" s="18"/>
      <c r="C752" s="18"/>
    </row>
    <row r="753">
      <c r="B753" s="18"/>
      <c r="C753" s="18"/>
    </row>
    <row r="754">
      <c r="B754" s="18"/>
      <c r="C754" s="18"/>
    </row>
    <row r="755">
      <c r="B755" s="18"/>
      <c r="C755" s="18"/>
    </row>
    <row r="756">
      <c r="B756" s="18"/>
      <c r="C756" s="18"/>
    </row>
    <row r="757">
      <c r="B757" s="18"/>
      <c r="C757" s="18"/>
    </row>
    <row r="758">
      <c r="B758" s="18"/>
      <c r="C758" s="18"/>
    </row>
    <row r="759">
      <c r="B759" s="18"/>
      <c r="C759" s="18"/>
    </row>
    <row r="760">
      <c r="B760" s="18"/>
      <c r="C760" s="18"/>
    </row>
    <row r="761">
      <c r="B761" s="18"/>
      <c r="C761" s="18"/>
    </row>
    <row r="762">
      <c r="B762" s="18"/>
      <c r="C762" s="18"/>
    </row>
    <row r="763">
      <c r="B763" s="18"/>
      <c r="C763" s="18"/>
    </row>
    <row r="764">
      <c r="B764" s="18"/>
      <c r="C764" s="18"/>
    </row>
    <row r="765">
      <c r="B765" s="18"/>
      <c r="C765" s="18"/>
    </row>
    <row r="766">
      <c r="B766" s="18"/>
      <c r="C766" s="18"/>
    </row>
    <row r="767">
      <c r="B767" s="18"/>
      <c r="C767" s="18"/>
    </row>
    <row r="768">
      <c r="B768" s="18"/>
      <c r="C768" s="18"/>
    </row>
    <row r="769">
      <c r="B769" s="18"/>
      <c r="C769" s="18"/>
    </row>
    <row r="770">
      <c r="B770" s="18"/>
      <c r="C770" s="18"/>
    </row>
    <row r="771">
      <c r="B771" s="18"/>
      <c r="C771" s="18"/>
    </row>
    <row r="772">
      <c r="B772" s="18"/>
      <c r="C772" s="18"/>
    </row>
    <row r="773">
      <c r="B773" s="18"/>
      <c r="C773" s="18"/>
    </row>
    <row r="774">
      <c r="B774" s="18"/>
      <c r="C774" s="18"/>
    </row>
    <row r="775">
      <c r="B775" s="18"/>
      <c r="C775" s="18"/>
    </row>
    <row r="776">
      <c r="B776" s="18"/>
      <c r="C776" s="18"/>
    </row>
    <row r="777">
      <c r="B777" s="18"/>
      <c r="C777" s="18"/>
    </row>
    <row r="778">
      <c r="B778" s="18"/>
      <c r="C778" s="18"/>
    </row>
    <row r="779">
      <c r="B779" s="18"/>
      <c r="C779" s="18"/>
    </row>
    <row r="780">
      <c r="B780" s="18"/>
      <c r="C780" s="18"/>
    </row>
    <row r="781">
      <c r="B781" s="18"/>
      <c r="C781" s="18"/>
    </row>
    <row r="782">
      <c r="B782" s="18"/>
      <c r="C782" s="18"/>
    </row>
    <row r="783">
      <c r="B783" s="18"/>
      <c r="C783" s="18"/>
    </row>
    <row r="784">
      <c r="B784" s="18"/>
      <c r="C784" s="18"/>
    </row>
    <row r="785">
      <c r="B785" s="18"/>
      <c r="C785" s="18"/>
    </row>
    <row r="786">
      <c r="B786" s="18"/>
      <c r="C786" s="18"/>
    </row>
    <row r="787">
      <c r="B787" s="18"/>
      <c r="C787" s="18"/>
    </row>
    <row r="788">
      <c r="B788" s="18"/>
      <c r="C788" s="18"/>
    </row>
    <row r="789">
      <c r="B789" s="18"/>
      <c r="C789" s="18"/>
    </row>
    <row r="790">
      <c r="B790" s="18"/>
      <c r="C790" s="18"/>
    </row>
    <row r="791">
      <c r="B791" s="18"/>
      <c r="C791" s="18"/>
    </row>
    <row r="792">
      <c r="B792" s="18"/>
      <c r="C792" s="18"/>
    </row>
    <row r="793">
      <c r="B793" s="18"/>
      <c r="C793" s="18"/>
    </row>
    <row r="794">
      <c r="B794" s="18"/>
      <c r="C794" s="18"/>
    </row>
    <row r="795">
      <c r="B795" s="18"/>
      <c r="C795" s="18"/>
    </row>
    <row r="796">
      <c r="B796" s="18"/>
      <c r="C796" s="18"/>
    </row>
    <row r="797">
      <c r="B797" s="18"/>
      <c r="C797" s="18"/>
    </row>
    <row r="798">
      <c r="B798" s="18"/>
      <c r="C798" s="18"/>
    </row>
    <row r="799">
      <c r="B799" s="18"/>
      <c r="C799" s="18"/>
    </row>
    <row r="800">
      <c r="B800" s="18"/>
      <c r="C800" s="18"/>
    </row>
    <row r="801">
      <c r="B801" s="18"/>
      <c r="C801" s="18"/>
    </row>
    <row r="802">
      <c r="B802" s="18"/>
      <c r="C802" s="18"/>
    </row>
    <row r="803">
      <c r="B803" s="18"/>
      <c r="C803" s="18"/>
    </row>
    <row r="804">
      <c r="B804" s="18"/>
      <c r="C804" s="18"/>
    </row>
    <row r="805">
      <c r="B805" s="18"/>
      <c r="C805" s="18"/>
    </row>
    <row r="806">
      <c r="B806" s="18"/>
      <c r="C806" s="18"/>
    </row>
    <row r="807">
      <c r="B807" s="18"/>
      <c r="C807" s="18"/>
    </row>
    <row r="808">
      <c r="B808" s="18"/>
      <c r="C808" s="18"/>
    </row>
    <row r="809">
      <c r="B809" s="18"/>
      <c r="C809" s="18"/>
    </row>
    <row r="810">
      <c r="B810" s="18"/>
      <c r="C810" s="18"/>
    </row>
    <row r="811">
      <c r="B811" s="18"/>
      <c r="C811" s="18"/>
    </row>
    <row r="812">
      <c r="B812" s="18"/>
      <c r="C812" s="18"/>
    </row>
    <row r="813">
      <c r="B813" s="18"/>
      <c r="C813" s="18"/>
    </row>
    <row r="814">
      <c r="B814" s="18"/>
      <c r="C814" s="18"/>
    </row>
    <row r="815">
      <c r="B815" s="18"/>
      <c r="C815" s="18"/>
    </row>
    <row r="816">
      <c r="B816" s="18"/>
      <c r="C816" s="18"/>
    </row>
    <row r="817">
      <c r="B817" s="18"/>
      <c r="C817" s="18"/>
    </row>
    <row r="818">
      <c r="B818" s="18"/>
      <c r="C818" s="18"/>
    </row>
    <row r="819">
      <c r="B819" s="18"/>
      <c r="C819" s="18"/>
    </row>
    <row r="820">
      <c r="B820" s="18"/>
      <c r="C820" s="18"/>
    </row>
    <row r="821">
      <c r="B821" s="18"/>
      <c r="C821" s="18"/>
    </row>
    <row r="822">
      <c r="B822" s="18"/>
      <c r="C822" s="18"/>
    </row>
    <row r="823">
      <c r="B823" s="18"/>
      <c r="C823" s="18"/>
    </row>
    <row r="824">
      <c r="B824" s="18"/>
      <c r="C824" s="18"/>
    </row>
    <row r="825">
      <c r="B825" s="18"/>
      <c r="C825" s="18"/>
    </row>
    <row r="826">
      <c r="B826" s="18"/>
      <c r="C826" s="18"/>
    </row>
    <row r="827">
      <c r="B827" s="18"/>
      <c r="C827" s="18"/>
    </row>
    <row r="828">
      <c r="B828" s="18"/>
      <c r="C828" s="18"/>
    </row>
    <row r="829">
      <c r="B829" s="18"/>
      <c r="C829" s="18"/>
    </row>
    <row r="830">
      <c r="B830" s="18"/>
      <c r="C830" s="18"/>
    </row>
    <row r="831">
      <c r="B831" s="18"/>
      <c r="C831" s="18"/>
    </row>
    <row r="832">
      <c r="B832" s="18"/>
      <c r="C832" s="18"/>
    </row>
    <row r="833">
      <c r="B833" s="18"/>
      <c r="C833" s="18"/>
    </row>
    <row r="834">
      <c r="B834" s="18"/>
      <c r="C834" s="18"/>
    </row>
    <row r="835">
      <c r="B835" s="18"/>
      <c r="C835" s="18"/>
    </row>
    <row r="836">
      <c r="B836" s="18"/>
      <c r="C836" s="18"/>
    </row>
    <row r="837">
      <c r="B837" s="18"/>
      <c r="C837" s="18"/>
    </row>
    <row r="838">
      <c r="B838" s="18"/>
      <c r="C838" s="18"/>
    </row>
    <row r="839">
      <c r="B839" s="18"/>
      <c r="C839" s="18"/>
    </row>
    <row r="840">
      <c r="B840" s="18"/>
      <c r="C840" s="18"/>
    </row>
    <row r="841">
      <c r="B841" s="18"/>
      <c r="C841" s="18"/>
    </row>
    <row r="842">
      <c r="B842" s="18"/>
      <c r="C842" s="18"/>
    </row>
    <row r="843">
      <c r="B843" s="18"/>
      <c r="C843" s="18"/>
    </row>
    <row r="844">
      <c r="B844" s="18"/>
      <c r="C844" s="18"/>
    </row>
    <row r="845">
      <c r="B845" s="18"/>
      <c r="C845" s="18"/>
    </row>
    <row r="846">
      <c r="B846" s="18"/>
      <c r="C846" s="18"/>
    </row>
    <row r="847">
      <c r="B847" s="18"/>
      <c r="C847" s="18"/>
    </row>
    <row r="848">
      <c r="B848" s="18"/>
      <c r="C848" s="18"/>
    </row>
    <row r="849">
      <c r="B849" s="18"/>
      <c r="C849" s="18"/>
    </row>
    <row r="850">
      <c r="B850" s="18"/>
      <c r="C850" s="18"/>
    </row>
    <row r="851">
      <c r="B851" s="18"/>
      <c r="C851" s="18"/>
    </row>
    <row r="852">
      <c r="B852" s="18"/>
      <c r="C852" s="18"/>
    </row>
    <row r="853">
      <c r="B853" s="18"/>
      <c r="C853" s="18"/>
    </row>
    <row r="854">
      <c r="B854" s="18"/>
      <c r="C854" s="18"/>
    </row>
    <row r="855">
      <c r="B855" s="18"/>
      <c r="C855" s="18"/>
    </row>
    <row r="856">
      <c r="B856" s="18"/>
      <c r="C856" s="18"/>
    </row>
    <row r="857">
      <c r="B857" s="18"/>
      <c r="C857" s="18"/>
    </row>
    <row r="858">
      <c r="B858" s="18"/>
      <c r="C858" s="18"/>
    </row>
    <row r="859">
      <c r="B859" s="18"/>
      <c r="C859" s="18"/>
    </row>
    <row r="860">
      <c r="B860" s="18"/>
      <c r="C860" s="18"/>
    </row>
    <row r="861">
      <c r="B861" s="18"/>
      <c r="C861" s="18"/>
    </row>
    <row r="862">
      <c r="B862" s="18"/>
      <c r="C862" s="18"/>
    </row>
    <row r="863">
      <c r="B863" s="18"/>
      <c r="C863" s="18"/>
    </row>
    <row r="864">
      <c r="B864" s="18"/>
      <c r="C864" s="18"/>
    </row>
    <row r="865">
      <c r="B865" s="18"/>
      <c r="C865" s="18"/>
    </row>
    <row r="866">
      <c r="B866" s="18"/>
      <c r="C866" s="18"/>
    </row>
    <row r="867">
      <c r="B867" s="18"/>
      <c r="C867" s="18"/>
    </row>
    <row r="868">
      <c r="B868" s="18"/>
      <c r="C868" s="18"/>
    </row>
    <row r="869">
      <c r="B869" s="18"/>
      <c r="C869" s="18"/>
    </row>
    <row r="870">
      <c r="B870" s="18"/>
      <c r="C870" s="18"/>
    </row>
    <row r="871">
      <c r="B871" s="18"/>
      <c r="C871" s="18"/>
    </row>
    <row r="872">
      <c r="B872" s="18"/>
      <c r="C872" s="18"/>
    </row>
    <row r="873">
      <c r="B873" s="18"/>
      <c r="C873" s="18"/>
    </row>
    <row r="874">
      <c r="B874" s="18"/>
      <c r="C874" s="18"/>
    </row>
    <row r="875">
      <c r="B875" s="18"/>
      <c r="C875" s="18"/>
    </row>
    <row r="876">
      <c r="B876" s="18"/>
      <c r="C876" s="18"/>
    </row>
    <row r="877">
      <c r="B877" s="18"/>
      <c r="C877" s="18"/>
    </row>
    <row r="878">
      <c r="B878" s="18"/>
      <c r="C878" s="18"/>
    </row>
    <row r="879">
      <c r="B879" s="18"/>
      <c r="C879" s="18"/>
    </row>
    <row r="880">
      <c r="B880" s="18"/>
      <c r="C880" s="18"/>
    </row>
    <row r="881">
      <c r="B881" s="18"/>
      <c r="C881" s="18"/>
    </row>
    <row r="882">
      <c r="B882" s="18"/>
      <c r="C882" s="18"/>
    </row>
    <row r="883">
      <c r="B883" s="18"/>
      <c r="C883" s="18"/>
    </row>
    <row r="884">
      <c r="B884" s="18"/>
      <c r="C884" s="18"/>
    </row>
    <row r="885">
      <c r="B885" s="18"/>
      <c r="C885" s="18"/>
    </row>
    <row r="886">
      <c r="B886" s="18"/>
      <c r="C886" s="18"/>
    </row>
    <row r="887">
      <c r="B887" s="18"/>
      <c r="C887" s="18"/>
    </row>
    <row r="888">
      <c r="B888" s="18"/>
      <c r="C888" s="18"/>
    </row>
    <row r="889">
      <c r="B889" s="18"/>
      <c r="C889" s="18"/>
    </row>
    <row r="890">
      <c r="B890" s="18"/>
      <c r="C890" s="18"/>
    </row>
    <row r="891">
      <c r="B891" s="18"/>
      <c r="C891" s="18"/>
    </row>
    <row r="892">
      <c r="B892" s="18"/>
      <c r="C892" s="18"/>
    </row>
    <row r="893">
      <c r="B893" s="18"/>
      <c r="C893" s="18"/>
    </row>
    <row r="894">
      <c r="B894" s="18"/>
      <c r="C894" s="18"/>
    </row>
    <row r="895">
      <c r="B895" s="18"/>
      <c r="C895" s="18"/>
    </row>
    <row r="896">
      <c r="B896" s="18"/>
      <c r="C896" s="18"/>
    </row>
    <row r="897">
      <c r="B897" s="18"/>
      <c r="C897" s="18"/>
    </row>
    <row r="898">
      <c r="B898" s="18"/>
      <c r="C898" s="18"/>
    </row>
    <row r="899">
      <c r="B899" s="18"/>
      <c r="C899" s="18"/>
    </row>
    <row r="900">
      <c r="B900" s="18"/>
      <c r="C900" s="18"/>
    </row>
    <row r="901">
      <c r="B901" s="18"/>
      <c r="C901" s="18"/>
    </row>
    <row r="902">
      <c r="B902" s="18"/>
      <c r="C902" s="18"/>
    </row>
    <row r="903">
      <c r="B903" s="18"/>
      <c r="C903" s="18"/>
    </row>
    <row r="904">
      <c r="B904" s="18"/>
      <c r="C904" s="18"/>
    </row>
    <row r="905">
      <c r="B905" s="18"/>
      <c r="C905" s="18"/>
    </row>
    <row r="906">
      <c r="B906" s="18"/>
      <c r="C906" s="18"/>
    </row>
    <row r="907">
      <c r="B907" s="18"/>
      <c r="C907" s="18"/>
    </row>
    <row r="908">
      <c r="B908" s="18"/>
      <c r="C908" s="18"/>
    </row>
    <row r="909">
      <c r="B909" s="18"/>
      <c r="C909" s="18"/>
    </row>
    <row r="910">
      <c r="B910" s="18"/>
      <c r="C910" s="18"/>
    </row>
    <row r="911">
      <c r="B911" s="18"/>
      <c r="C911" s="18"/>
    </row>
    <row r="912">
      <c r="B912" s="18"/>
      <c r="C912" s="18"/>
    </row>
    <row r="913">
      <c r="B913" s="18"/>
      <c r="C913" s="18"/>
    </row>
    <row r="914">
      <c r="B914" s="18"/>
      <c r="C914" s="18"/>
    </row>
    <row r="915">
      <c r="B915" s="18"/>
      <c r="C915" s="18"/>
    </row>
    <row r="916">
      <c r="B916" s="18"/>
      <c r="C916" s="18"/>
    </row>
    <row r="917">
      <c r="B917" s="18"/>
      <c r="C917" s="18"/>
    </row>
    <row r="918">
      <c r="B918" s="18"/>
      <c r="C918" s="18"/>
    </row>
    <row r="919">
      <c r="B919" s="18"/>
      <c r="C919" s="18"/>
    </row>
    <row r="920">
      <c r="B920" s="18"/>
      <c r="C920" s="18"/>
    </row>
    <row r="921">
      <c r="B921" s="18"/>
      <c r="C921" s="18"/>
    </row>
    <row r="922">
      <c r="B922" s="18"/>
      <c r="C922" s="18"/>
    </row>
    <row r="923">
      <c r="B923" s="18"/>
      <c r="C923" s="18"/>
    </row>
    <row r="924">
      <c r="B924" s="18"/>
      <c r="C924" s="18"/>
    </row>
    <row r="925">
      <c r="B925" s="18"/>
      <c r="C925" s="18"/>
    </row>
    <row r="926">
      <c r="B926" s="18"/>
      <c r="C926" s="18"/>
    </row>
    <row r="927">
      <c r="B927" s="18"/>
      <c r="C927" s="18"/>
    </row>
    <row r="928">
      <c r="B928" s="18"/>
      <c r="C928" s="18"/>
    </row>
    <row r="929">
      <c r="B929" s="18"/>
      <c r="C929" s="18"/>
    </row>
    <row r="930">
      <c r="B930" s="18"/>
      <c r="C930" s="18"/>
    </row>
    <row r="931">
      <c r="B931" s="18"/>
      <c r="C931" s="18"/>
    </row>
    <row r="932">
      <c r="B932" s="18"/>
      <c r="C932" s="18"/>
    </row>
    <row r="933">
      <c r="B933" s="18"/>
      <c r="C933" s="18"/>
    </row>
    <row r="934">
      <c r="B934" s="18"/>
      <c r="C934" s="18"/>
    </row>
    <row r="935">
      <c r="B935" s="18"/>
      <c r="C935" s="18"/>
    </row>
    <row r="936">
      <c r="B936" s="18"/>
      <c r="C936" s="18"/>
    </row>
    <row r="937">
      <c r="B937" s="18"/>
      <c r="C937" s="18"/>
    </row>
    <row r="938">
      <c r="B938" s="18"/>
      <c r="C938" s="18"/>
    </row>
    <row r="939">
      <c r="B939" s="18"/>
      <c r="C939" s="18"/>
    </row>
    <row r="940">
      <c r="B940" s="18"/>
      <c r="C940" s="18"/>
    </row>
    <row r="941">
      <c r="B941" s="18"/>
      <c r="C941" s="18"/>
    </row>
    <row r="942">
      <c r="B942" s="18"/>
      <c r="C942" s="18"/>
    </row>
    <row r="943">
      <c r="B943" s="18"/>
      <c r="C943" s="18"/>
    </row>
    <row r="944">
      <c r="B944" s="18"/>
      <c r="C944" s="18"/>
    </row>
    <row r="945">
      <c r="B945" s="18"/>
      <c r="C945" s="18"/>
    </row>
    <row r="946">
      <c r="B946" s="18"/>
      <c r="C946" s="18"/>
    </row>
    <row r="947">
      <c r="B947" s="18"/>
      <c r="C947" s="18"/>
    </row>
    <row r="948">
      <c r="B948" s="18"/>
      <c r="C948" s="18"/>
    </row>
    <row r="949">
      <c r="B949" s="18"/>
      <c r="C949" s="18"/>
    </row>
    <row r="950">
      <c r="B950" s="18"/>
      <c r="C950" s="18"/>
    </row>
    <row r="951">
      <c r="B951" s="18"/>
      <c r="C951" s="18"/>
    </row>
    <row r="952">
      <c r="B952" s="18"/>
      <c r="C952" s="18"/>
    </row>
    <row r="953">
      <c r="B953" s="18"/>
      <c r="C953" s="18"/>
    </row>
    <row r="954">
      <c r="B954" s="18"/>
      <c r="C954" s="18"/>
    </row>
    <row r="955">
      <c r="B955" s="18"/>
      <c r="C955" s="18"/>
    </row>
    <row r="956">
      <c r="B956" s="18"/>
      <c r="C956" s="18"/>
    </row>
    <row r="957">
      <c r="B957" s="18"/>
      <c r="C957" s="18"/>
    </row>
    <row r="958">
      <c r="B958" s="18"/>
      <c r="C958" s="18"/>
    </row>
    <row r="959">
      <c r="B959" s="18"/>
      <c r="C959" s="18"/>
    </row>
    <row r="960">
      <c r="B960" s="18"/>
      <c r="C960" s="18"/>
    </row>
    <row r="961">
      <c r="B961" s="18"/>
      <c r="C961" s="18"/>
    </row>
    <row r="962">
      <c r="B962" s="18"/>
      <c r="C962" s="18"/>
    </row>
    <row r="963">
      <c r="B963" s="18"/>
      <c r="C963" s="18"/>
    </row>
    <row r="964">
      <c r="B964" s="18"/>
      <c r="C964" s="18"/>
    </row>
    <row r="965">
      <c r="B965" s="18"/>
      <c r="C965" s="18"/>
    </row>
    <row r="966">
      <c r="B966" s="18"/>
      <c r="C966" s="18"/>
    </row>
    <row r="967">
      <c r="B967" s="18"/>
      <c r="C967" s="18"/>
    </row>
    <row r="968">
      <c r="B968" s="18"/>
      <c r="C968" s="18"/>
    </row>
    <row r="969">
      <c r="B969" s="18"/>
      <c r="C969" s="18"/>
    </row>
    <row r="970">
      <c r="B970" s="18"/>
      <c r="C970" s="18"/>
    </row>
    <row r="971">
      <c r="B971" s="18"/>
      <c r="C971" s="18"/>
    </row>
    <row r="972">
      <c r="B972" s="18"/>
      <c r="C972" s="18"/>
    </row>
    <row r="973">
      <c r="B973" s="18"/>
      <c r="C973" s="18"/>
    </row>
    <row r="974">
      <c r="B974" s="18"/>
      <c r="C974" s="18"/>
    </row>
    <row r="975">
      <c r="B975" s="18"/>
      <c r="C975" s="18"/>
    </row>
    <row r="976">
      <c r="B976" s="18"/>
      <c r="C976" s="18"/>
    </row>
    <row r="977">
      <c r="B977" s="18"/>
      <c r="C977" s="18"/>
    </row>
    <row r="978">
      <c r="B978" s="18"/>
      <c r="C978" s="18"/>
    </row>
    <row r="979">
      <c r="B979" s="18"/>
      <c r="C979" s="18"/>
    </row>
    <row r="980">
      <c r="B980" s="18"/>
      <c r="C980" s="18"/>
    </row>
    <row r="981">
      <c r="B981" s="18"/>
      <c r="C981" s="18"/>
    </row>
    <row r="982">
      <c r="B982" s="18"/>
      <c r="C982" s="18"/>
    </row>
    <row r="983">
      <c r="B983" s="18"/>
      <c r="C983" s="18"/>
    </row>
    <row r="984">
      <c r="B984" s="18"/>
      <c r="C984" s="18"/>
    </row>
    <row r="985">
      <c r="B985" s="18"/>
      <c r="C985" s="18"/>
    </row>
    <row r="986">
      <c r="B986" s="18"/>
      <c r="C986" s="18"/>
    </row>
    <row r="987">
      <c r="B987" s="18"/>
      <c r="C987" s="18"/>
    </row>
    <row r="988">
      <c r="B988" s="18"/>
      <c r="C988" s="18"/>
    </row>
    <row r="989">
      <c r="B989" s="18"/>
      <c r="C989" s="18"/>
    </row>
    <row r="990">
      <c r="B990" s="18"/>
      <c r="C990" s="18"/>
    </row>
    <row r="991">
      <c r="B991" s="18"/>
      <c r="C991" s="18"/>
    </row>
    <row r="992">
      <c r="B992" s="18"/>
      <c r="C992" s="18"/>
    </row>
    <row r="993">
      <c r="B993" s="18"/>
      <c r="C993" s="18"/>
    </row>
    <row r="994">
      <c r="B994" s="18"/>
      <c r="C994" s="18"/>
    </row>
    <row r="995">
      <c r="B995" s="18"/>
      <c r="C995" s="18"/>
    </row>
    <row r="996">
      <c r="B996" s="18"/>
      <c r="C996" s="18"/>
    </row>
    <row r="997">
      <c r="B997" s="18"/>
      <c r="C997" s="18"/>
    </row>
    <row r="998">
      <c r="B998" s="18"/>
      <c r="C998" s="18"/>
    </row>
    <row r="999">
      <c r="B999" s="18"/>
      <c r="C999" s="18"/>
    </row>
    <row r="1000">
      <c r="B1000" s="18"/>
      <c r="C1000" s="1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8" t="str">
        <f t="array" ref="A3:A136">UNIQUE('SALES REPORT'!C2:C238)</f>
        <v>08036205454</v>
      </c>
      <c r="B3" s="3">
        <v>1001.0</v>
      </c>
    </row>
    <row r="4">
      <c r="A4" s="18" t="s">
        <v>290</v>
      </c>
      <c r="B4" s="3">
        <v>1002.0</v>
      </c>
    </row>
    <row r="5">
      <c r="A5" s="18" t="s">
        <v>291</v>
      </c>
      <c r="B5" s="3">
        <v>1003.0</v>
      </c>
      <c r="F5" s="18" t="s">
        <v>22</v>
      </c>
    </row>
    <row r="6">
      <c r="A6" s="18" t="s">
        <v>296</v>
      </c>
      <c r="B6" s="3">
        <v>1004.0</v>
      </c>
      <c r="F6" s="29" t="s">
        <v>158</v>
      </c>
    </row>
    <row r="7">
      <c r="A7" s="18" t="s">
        <v>313</v>
      </c>
      <c r="B7" s="3">
        <v>1005.0</v>
      </c>
      <c r="F7" s="18" t="s">
        <v>58</v>
      </c>
    </row>
    <row r="8">
      <c r="A8" s="18" t="s">
        <v>318</v>
      </c>
      <c r="B8" s="3">
        <v>1006.0</v>
      </c>
      <c r="F8" s="29" t="s">
        <v>231</v>
      </c>
    </row>
    <row r="9">
      <c r="A9" s="18" t="s">
        <v>319</v>
      </c>
      <c r="B9" s="3">
        <v>1007.0</v>
      </c>
      <c r="F9" s="18" t="s">
        <v>61</v>
      </c>
    </row>
    <row r="10">
      <c r="A10" s="18" t="s">
        <v>320</v>
      </c>
      <c r="B10" s="3">
        <v>1008.0</v>
      </c>
      <c r="F10" s="18" t="s">
        <v>178</v>
      </c>
    </row>
    <row r="11">
      <c r="A11" s="18" t="s">
        <v>321</v>
      </c>
      <c r="B11" s="3">
        <v>1009.0</v>
      </c>
      <c r="F11" s="18" t="s">
        <v>185</v>
      </c>
    </row>
    <row r="12">
      <c r="A12" s="18" t="s">
        <v>322</v>
      </c>
      <c r="B12" s="3">
        <v>1010.0</v>
      </c>
      <c r="F12" s="29" t="s">
        <v>106</v>
      </c>
    </row>
    <row r="13">
      <c r="A13" s="18" t="s">
        <v>323</v>
      </c>
      <c r="B13" s="3">
        <v>1011.0</v>
      </c>
      <c r="F13" s="18" t="s">
        <v>83</v>
      </c>
    </row>
    <row r="14">
      <c r="A14" s="18" t="s">
        <v>324</v>
      </c>
      <c r="B14" s="3">
        <v>1012.0</v>
      </c>
      <c r="F14" s="18" t="s">
        <v>179</v>
      </c>
    </row>
    <row r="15">
      <c r="A15" s="18" t="s">
        <v>325</v>
      </c>
      <c r="B15" s="3">
        <v>1013.0</v>
      </c>
      <c r="F15" s="18" t="s">
        <v>57</v>
      </c>
    </row>
    <row r="16">
      <c r="A16" s="18" t="s">
        <v>326</v>
      </c>
      <c r="B16" s="3">
        <v>1014.0</v>
      </c>
      <c r="F16" s="18" t="s">
        <v>232</v>
      </c>
    </row>
    <row r="17">
      <c r="A17" s="18" t="s">
        <v>327</v>
      </c>
      <c r="B17" s="3">
        <v>1015.0</v>
      </c>
      <c r="F17" s="18" t="s">
        <v>81</v>
      </c>
    </row>
    <row r="18">
      <c r="A18" s="18" t="s">
        <v>328</v>
      </c>
      <c r="B18" s="3">
        <v>1016.0</v>
      </c>
      <c r="F18" s="18" t="s">
        <v>199</v>
      </c>
    </row>
    <row r="19">
      <c r="A19" s="18" t="s">
        <v>329</v>
      </c>
      <c r="B19" s="3">
        <v>1017.0</v>
      </c>
      <c r="F19" s="29" t="s">
        <v>233</v>
      </c>
    </row>
    <row r="20">
      <c r="A20" s="18" t="s">
        <v>330</v>
      </c>
      <c r="B20" s="3">
        <v>1018.0</v>
      </c>
      <c r="F20" s="18" t="s">
        <v>39</v>
      </c>
    </row>
    <row r="21">
      <c r="A21" s="18" t="s">
        <v>331</v>
      </c>
      <c r="B21" s="3">
        <v>1019.0</v>
      </c>
      <c r="F21" s="18" t="s">
        <v>36</v>
      </c>
    </row>
    <row r="22">
      <c r="A22" s="18" t="s">
        <v>332</v>
      </c>
      <c r="B22" s="3">
        <v>1020.0</v>
      </c>
      <c r="F22" s="18" t="s">
        <v>234</v>
      </c>
    </row>
    <row r="23">
      <c r="A23" s="18" t="s">
        <v>333</v>
      </c>
      <c r="B23" s="3">
        <v>1021.0</v>
      </c>
      <c r="F23" s="29" t="s">
        <v>235</v>
      </c>
    </row>
    <row r="24">
      <c r="A24" s="18" t="s">
        <v>334</v>
      </c>
      <c r="B24" s="3">
        <v>1022.0</v>
      </c>
      <c r="F24" s="18" t="s">
        <v>236</v>
      </c>
    </row>
    <row r="25">
      <c r="A25" s="18" t="s">
        <v>335</v>
      </c>
      <c r="B25" s="3">
        <v>1023.0</v>
      </c>
      <c r="F25" s="18" t="s">
        <v>237</v>
      </c>
    </row>
    <row r="26">
      <c r="A26" s="18" t="s">
        <v>337</v>
      </c>
      <c r="B26" s="3">
        <v>1024.0</v>
      </c>
      <c r="F26" s="18" t="s">
        <v>170</v>
      </c>
    </row>
    <row r="27">
      <c r="A27" s="18" t="s">
        <v>338</v>
      </c>
      <c r="B27" s="3">
        <v>1025.0</v>
      </c>
      <c r="F27" s="18" t="s">
        <v>176</v>
      </c>
    </row>
    <row r="28">
      <c r="A28" s="18" t="s">
        <v>339</v>
      </c>
      <c r="B28" s="3">
        <v>1026.0</v>
      </c>
      <c r="F28" s="18" t="s">
        <v>177</v>
      </c>
    </row>
    <row r="29">
      <c r="A29" s="18" t="s">
        <v>340</v>
      </c>
      <c r="B29" s="3">
        <v>1027.0</v>
      </c>
      <c r="F29" s="29" t="s">
        <v>238</v>
      </c>
    </row>
    <row r="30">
      <c r="A30" s="18" t="s">
        <v>341</v>
      </c>
      <c r="B30" s="3">
        <v>1028.0</v>
      </c>
      <c r="F30" s="29" t="s">
        <v>123</v>
      </c>
    </row>
    <row r="31">
      <c r="A31" s="18" t="s">
        <v>342</v>
      </c>
      <c r="B31" s="3">
        <v>1029.0</v>
      </c>
      <c r="F31" s="18" t="s">
        <v>195</v>
      </c>
    </row>
    <row r="32">
      <c r="A32" s="18" t="s">
        <v>343</v>
      </c>
      <c r="B32" s="3">
        <v>1030.0</v>
      </c>
      <c r="F32" s="18" t="s">
        <v>239</v>
      </c>
    </row>
    <row r="33">
      <c r="A33" s="18" t="s">
        <v>344</v>
      </c>
      <c r="B33" s="3">
        <v>1031.0</v>
      </c>
      <c r="F33" s="18" t="s">
        <v>85</v>
      </c>
    </row>
    <row r="34">
      <c r="A34" s="18" t="s">
        <v>345</v>
      </c>
      <c r="B34" s="3">
        <v>1032.0</v>
      </c>
      <c r="F34" s="18" t="s">
        <v>116</v>
      </c>
    </row>
    <row r="35">
      <c r="A35" s="18" t="s">
        <v>346</v>
      </c>
      <c r="B35" s="3">
        <v>1033.0</v>
      </c>
      <c r="F35" s="18" t="s">
        <v>243</v>
      </c>
    </row>
    <row r="36">
      <c r="A36" s="18" t="s">
        <v>347</v>
      </c>
      <c r="B36" s="3">
        <v>1034.0</v>
      </c>
      <c r="F36" s="29" t="s">
        <v>244</v>
      </c>
    </row>
    <row r="37">
      <c r="A37" s="18" t="s">
        <v>348</v>
      </c>
      <c r="B37" s="3">
        <v>1035.0</v>
      </c>
      <c r="F37" s="18" t="s">
        <v>245</v>
      </c>
    </row>
    <row r="38">
      <c r="A38" s="18" t="s">
        <v>349</v>
      </c>
      <c r="B38" s="3">
        <v>1036.0</v>
      </c>
      <c r="F38" s="29" t="s">
        <v>246</v>
      </c>
    </row>
    <row r="39">
      <c r="A39" s="18" t="s">
        <v>350</v>
      </c>
      <c r="B39" s="3">
        <v>1037.0</v>
      </c>
      <c r="F39" s="18" t="s">
        <v>248</v>
      </c>
    </row>
    <row r="40">
      <c r="A40" s="18" t="s">
        <v>351</v>
      </c>
      <c r="B40" s="3">
        <v>1038.0</v>
      </c>
      <c r="F40" s="29" t="s">
        <v>249</v>
      </c>
    </row>
    <row r="41">
      <c r="A41" s="18" t="s">
        <v>352</v>
      </c>
      <c r="B41" s="3">
        <v>1039.0</v>
      </c>
      <c r="F41" s="18" t="s">
        <v>250</v>
      </c>
    </row>
    <row r="42">
      <c r="A42" s="18" t="s">
        <v>353</v>
      </c>
      <c r="B42" s="3">
        <v>1040.0</v>
      </c>
      <c r="F42" s="18" t="s">
        <v>97</v>
      </c>
    </row>
    <row r="43">
      <c r="A43" s="18" t="s">
        <v>354</v>
      </c>
      <c r="B43" s="3">
        <v>1041.0</v>
      </c>
      <c r="F43" s="18" t="s">
        <v>251</v>
      </c>
    </row>
    <row r="44">
      <c r="A44" s="18" t="s">
        <v>355</v>
      </c>
      <c r="B44" s="3">
        <v>1037.0</v>
      </c>
      <c r="F44" s="18" t="s">
        <v>253</v>
      </c>
    </row>
    <row r="45">
      <c r="A45" s="18" t="s">
        <v>356</v>
      </c>
      <c r="B45" s="3">
        <v>1038.0</v>
      </c>
      <c r="F45" s="18" t="s">
        <v>254</v>
      </c>
    </row>
    <row r="46">
      <c r="A46" s="18" t="s">
        <v>29</v>
      </c>
      <c r="B46" s="3">
        <v>1039.0</v>
      </c>
      <c r="F46" s="18" t="s">
        <v>255</v>
      </c>
    </row>
    <row r="47">
      <c r="A47" s="18" t="s">
        <v>357</v>
      </c>
      <c r="B47" s="3">
        <v>1040.0</v>
      </c>
      <c r="F47" s="18" t="s">
        <v>257</v>
      </c>
    </row>
    <row r="48">
      <c r="A48" s="18" t="s">
        <v>358</v>
      </c>
      <c r="B48" s="3">
        <v>1041.0</v>
      </c>
      <c r="F48" s="18" t="s">
        <v>259</v>
      </c>
    </row>
    <row r="49">
      <c r="A49" s="18"/>
      <c r="B49" s="3">
        <v>1042.0</v>
      </c>
    </row>
    <row r="50">
      <c r="A50" s="18" t="s">
        <v>359</v>
      </c>
      <c r="B50" s="3">
        <v>1043.0</v>
      </c>
    </row>
    <row r="51">
      <c r="A51" s="18" t="s">
        <v>360</v>
      </c>
      <c r="B51" s="3">
        <v>1044.0</v>
      </c>
    </row>
    <row r="52">
      <c r="A52" s="18" t="s">
        <v>361</v>
      </c>
      <c r="B52" s="3">
        <v>1045.0</v>
      </c>
    </row>
    <row r="53">
      <c r="A53" s="18" t="s">
        <v>362</v>
      </c>
      <c r="B53" s="3">
        <v>1046.0</v>
      </c>
    </row>
    <row r="54">
      <c r="A54" s="18" t="s">
        <v>363</v>
      </c>
      <c r="B54" s="3">
        <v>1047.0</v>
      </c>
    </row>
    <row r="55">
      <c r="A55" s="18" t="s">
        <v>224</v>
      </c>
      <c r="B55" s="3">
        <v>1048.0</v>
      </c>
    </row>
    <row r="56">
      <c r="A56" s="18" t="s">
        <v>364</v>
      </c>
      <c r="B56" s="3">
        <v>1049.0</v>
      </c>
    </row>
    <row r="57">
      <c r="A57" s="18" t="s">
        <v>365</v>
      </c>
      <c r="B57" s="3">
        <v>1050.0</v>
      </c>
    </row>
    <row r="58">
      <c r="A58" s="18" t="s">
        <v>366</v>
      </c>
      <c r="B58" s="3">
        <v>1051.0</v>
      </c>
    </row>
    <row r="59">
      <c r="A59" s="18" t="s">
        <v>367</v>
      </c>
      <c r="B59" s="3">
        <v>1052.0</v>
      </c>
    </row>
    <row r="60">
      <c r="A60" s="18" t="s">
        <v>368</v>
      </c>
      <c r="B60" s="3">
        <v>1053.0</v>
      </c>
    </row>
    <row r="61">
      <c r="A61" s="18" t="s">
        <v>369</v>
      </c>
      <c r="B61" s="3">
        <v>1054.0</v>
      </c>
    </row>
    <row r="62">
      <c r="A62" s="18" t="s">
        <v>370</v>
      </c>
      <c r="B62" s="3">
        <v>1055.0</v>
      </c>
    </row>
    <row r="63">
      <c r="A63" s="18" t="s">
        <v>371</v>
      </c>
      <c r="B63" s="3">
        <v>1056.0</v>
      </c>
    </row>
    <row r="64">
      <c r="A64" s="18" t="s">
        <v>372</v>
      </c>
      <c r="B64" s="3">
        <v>1057.0</v>
      </c>
    </row>
    <row r="65">
      <c r="A65" s="18" t="s">
        <v>373</v>
      </c>
      <c r="B65" s="3">
        <v>1058.0</v>
      </c>
    </row>
    <row r="66">
      <c r="A66" s="18" t="s">
        <v>374</v>
      </c>
      <c r="B66" s="3">
        <v>1059.0</v>
      </c>
    </row>
    <row r="67">
      <c r="A67" s="18" t="s">
        <v>375</v>
      </c>
      <c r="B67" s="3">
        <v>1060.0</v>
      </c>
    </row>
    <row r="68">
      <c r="A68" s="18" t="s">
        <v>376</v>
      </c>
      <c r="B68" s="3">
        <v>1061.0</v>
      </c>
    </row>
    <row r="69">
      <c r="A69" s="18" t="s">
        <v>377</v>
      </c>
      <c r="B69" s="3">
        <v>1062.0</v>
      </c>
    </row>
    <row r="70">
      <c r="A70" s="18" t="s">
        <v>378</v>
      </c>
      <c r="B70" s="3">
        <v>1063.0</v>
      </c>
    </row>
    <row r="71">
      <c r="A71" s="18" t="s">
        <v>379</v>
      </c>
      <c r="B71" s="3">
        <v>1064.0</v>
      </c>
    </row>
    <row r="72">
      <c r="A72" s="18" t="s">
        <v>380</v>
      </c>
      <c r="B72" s="3">
        <v>1065.0</v>
      </c>
    </row>
    <row r="73">
      <c r="A73" s="18" t="s">
        <v>381</v>
      </c>
      <c r="B73" s="3">
        <v>1066.0</v>
      </c>
    </row>
    <row r="74">
      <c r="A74" s="18" t="s">
        <v>382</v>
      </c>
      <c r="B74" s="3">
        <v>1067.0</v>
      </c>
    </row>
    <row r="75">
      <c r="A75" s="18" t="s">
        <v>383</v>
      </c>
      <c r="B75" s="3">
        <v>1068.0</v>
      </c>
    </row>
    <row r="76">
      <c r="A76" s="18" t="s">
        <v>384</v>
      </c>
      <c r="B76" s="3">
        <v>1069.0</v>
      </c>
    </row>
    <row r="77">
      <c r="A77" s="18" t="s">
        <v>385</v>
      </c>
      <c r="B77" s="3">
        <v>1070.0</v>
      </c>
    </row>
    <row r="78">
      <c r="A78" s="18" t="s">
        <v>386</v>
      </c>
      <c r="B78" s="3">
        <v>1071.0</v>
      </c>
    </row>
    <row r="79">
      <c r="A79" s="18" t="s">
        <v>387</v>
      </c>
      <c r="B79" s="3">
        <v>1072.0</v>
      </c>
    </row>
    <row r="80">
      <c r="A80" s="18" t="s">
        <v>388</v>
      </c>
      <c r="B80" s="3">
        <v>1073.0</v>
      </c>
    </row>
    <row r="81">
      <c r="A81" s="18" t="s">
        <v>389</v>
      </c>
      <c r="B81" s="3">
        <v>1074.0</v>
      </c>
    </row>
    <row r="82">
      <c r="A82" s="18" t="s">
        <v>12</v>
      </c>
      <c r="B82" s="3">
        <v>1075.0</v>
      </c>
    </row>
    <row r="83">
      <c r="A83" s="18" t="s">
        <v>390</v>
      </c>
      <c r="B83" s="3">
        <v>1076.0</v>
      </c>
    </row>
    <row r="84">
      <c r="A84" s="18" t="s">
        <v>391</v>
      </c>
      <c r="B84" s="3">
        <v>1077.0</v>
      </c>
    </row>
    <row r="85">
      <c r="A85" s="18" t="s">
        <v>393</v>
      </c>
      <c r="B85" s="3">
        <v>1078.0</v>
      </c>
    </row>
    <row r="86">
      <c r="A86" s="18" t="s">
        <v>394</v>
      </c>
      <c r="B86" s="3">
        <v>1079.0</v>
      </c>
    </row>
    <row r="87">
      <c r="A87" s="18" t="s">
        <v>395</v>
      </c>
      <c r="B87" s="3">
        <v>1080.0</v>
      </c>
    </row>
    <row r="88">
      <c r="A88" s="18" t="s">
        <v>396</v>
      </c>
      <c r="B88" s="3">
        <v>1081.0</v>
      </c>
    </row>
    <row r="89">
      <c r="A89" s="18" t="s">
        <v>397</v>
      </c>
      <c r="B89" s="3">
        <v>1082.0</v>
      </c>
    </row>
    <row r="90">
      <c r="A90" s="18" t="s">
        <v>398</v>
      </c>
      <c r="B90" s="3">
        <v>1083.0</v>
      </c>
    </row>
    <row r="91">
      <c r="A91" s="18" t="s">
        <v>399</v>
      </c>
      <c r="B91" s="3">
        <v>1084.0</v>
      </c>
    </row>
    <row r="92">
      <c r="A92" s="18" t="s">
        <v>400</v>
      </c>
      <c r="B92" s="3">
        <v>1085.0</v>
      </c>
    </row>
    <row r="93">
      <c r="A93" s="18" t="s">
        <v>401</v>
      </c>
      <c r="B93" s="3">
        <v>1086.0</v>
      </c>
    </row>
    <row r="94">
      <c r="A94" s="18" t="s">
        <v>402</v>
      </c>
      <c r="B94" s="3">
        <v>1087.0</v>
      </c>
    </row>
    <row r="95">
      <c r="A95" s="18" t="s">
        <v>403</v>
      </c>
      <c r="B95" s="3">
        <v>1088.0</v>
      </c>
    </row>
    <row r="96">
      <c r="A96" s="18" t="s">
        <v>404</v>
      </c>
      <c r="B96" s="3">
        <v>1089.0</v>
      </c>
    </row>
    <row r="97">
      <c r="A97" s="18" t="s">
        <v>405</v>
      </c>
      <c r="B97" s="3">
        <v>1090.0</v>
      </c>
    </row>
    <row r="98">
      <c r="A98" s="18" t="s">
        <v>406</v>
      </c>
      <c r="B98" s="3">
        <v>1091.0</v>
      </c>
    </row>
    <row r="99">
      <c r="A99" s="18" t="s">
        <v>142</v>
      </c>
      <c r="B99" s="3">
        <v>1092.0</v>
      </c>
    </row>
    <row r="100">
      <c r="A100" s="18" t="s">
        <v>407</v>
      </c>
      <c r="B100" s="3">
        <v>1093.0</v>
      </c>
    </row>
    <row r="101">
      <c r="A101" s="18" t="s">
        <v>408</v>
      </c>
      <c r="B101" s="3">
        <v>1094.0</v>
      </c>
    </row>
    <row r="102">
      <c r="A102" s="18" t="s">
        <v>409</v>
      </c>
      <c r="B102" s="3">
        <v>1095.0</v>
      </c>
    </row>
    <row r="103">
      <c r="A103" s="18" t="s">
        <v>410</v>
      </c>
      <c r="B103" s="3">
        <v>1096.0</v>
      </c>
    </row>
    <row r="104">
      <c r="A104" s="18" t="s">
        <v>411</v>
      </c>
      <c r="B104" s="3">
        <v>1097.0</v>
      </c>
    </row>
    <row r="105">
      <c r="A105" s="18" t="s">
        <v>412</v>
      </c>
      <c r="B105" s="3">
        <v>1098.0</v>
      </c>
    </row>
    <row r="106">
      <c r="A106" s="18" t="s">
        <v>413</v>
      </c>
      <c r="B106" s="3">
        <v>1099.0</v>
      </c>
    </row>
    <row r="107">
      <c r="A107" s="18" t="s">
        <v>414</v>
      </c>
      <c r="B107" s="3">
        <v>1100.0</v>
      </c>
    </row>
    <row r="108">
      <c r="A108" s="18" t="s">
        <v>415</v>
      </c>
      <c r="B108" s="3">
        <v>1101.0</v>
      </c>
    </row>
    <row r="109">
      <c r="A109" s="18" t="s">
        <v>416</v>
      </c>
      <c r="B109" s="3">
        <v>1102.0</v>
      </c>
    </row>
    <row r="110">
      <c r="A110" s="18" t="s">
        <v>417</v>
      </c>
      <c r="B110" s="3">
        <v>1103.0</v>
      </c>
    </row>
    <row r="111">
      <c r="A111" s="18" t="s">
        <v>418</v>
      </c>
      <c r="B111" s="3">
        <v>1104.0</v>
      </c>
    </row>
    <row r="112">
      <c r="A112" s="18" t="s">
        <v>419</v>
      </c>
      <c r="B112" s="3">
        <v>1105.0</v>
      </c>
    </row>
    <row r="113">
      <c r="A113" s="18" t="s">
        <v>420</v>
      </c>
      <c r="B113" s="3">
        <v>1106.0</v>
      </c>
    </row>
    <row r="114">
      <c r="A114" s="18" t="s">
        <v>421</v>
      </c>
      <c r="B114" s="3">
        <v>1107.0</v>
      </c>
    </row>
    <row r="115">
      <c r="A115" s="18" t="s">
        <v>422</v>
      </c>
      <c r="B115" s="3">
        <v>1108.0</v>
      </c>
    </row>
    <row r="116">
      <c r="A116" s="18" t="s">
        <v>423</v>
      </c>
      <c r="B116" s="3">
        <v>1109.0</v>
      </c>
    </row>
    <row r="117">
      <c r="A117" s="18" t="s">
        <v>424</v>
      </c>
      <c r="B117" s="3">
        <v>1110.0</v>
      </c>
    </row>
    <row r="118">
      <c r="A118" s="18" t="s">
        <v>425</v>
      </c>
      <c r="B118" s="3">
        <v>1111.0</v>
      </c>
    </row>
    <row r="119">
      <c r="A119" s="18" t="s">
        <v>426</v>
      </c>
      <c r="B119" s="3">
        <v>1112.0</v>
      </c>
    </row>
    <row r="120">
      <c r="A120" s="18" t="s">
        <v>427</v>
      </c>
      <c r="B120" s="3">
        <v>1113.0</v>
      </c>
    </row>
    <row r="121">
      <c r="A121" s="18" t="s">
        <v>428</v>
      </c>
      <c r="B121" s="3">
        <v>1114.0</v>
      </c>
    </row>
    <row r="122">
      <c r="A122" s="18" t="s">
        <v>429</v>
      </c>
      <c r="B122" s="3">
        <v>1115.0</v>
      </c>
    </row>
    <row r="123">
      <c r="A123" s="18" t="s">
        <v>430</v>
      </c>
      <c r="B123" s="3">
        <v>1116.0</v>
      </c>
    </row>
    <row r="124">
      <c r="A124" s="18" t="s">
        <v>431</v>
      </c>
      <c r="B124" s="3">
        <v>1117.0</v>
      </c>
    </row>
    <row r="125">
      <c r="A125" s="18" t="s">
        <v>432</v>
      </c>
      <c r="B125" s="3">
        <v>1118.0</v>
      </c>
    </row>
    <row r="126">
      <c r="A126" s="18" t="s">
        <v>433</v>
      </c>
      <c r="B126" s="3">
        <v>1119.0</v>
      </c>
    </row>
    <row r="127">
      <c r="A127" s="18" t="s">
        <v>434</v>
      </c>
      <c r="B127" s="3">
        <v>1120.0</v>
      </c>
    </row>
    <row r="128">
      <c r="A128" s="18" t="s">
        <v>435</v>
      </c>
      <c r="B128" s="3">
        <v>1121.0</v>
      </c>
    </row>
    <row r="129">
      <c r="A129" s="18" t="s">
        <v>292</v>
      </c>
      <c r="B129" s="3">
        <v>1122.0</v>
      </c>
    </row>
    <row r="130">
      <c r="A130" s="18" t="s">
        <v>293</v>
      </c>
      <c r="B130" s="3">
        <v>1123.0</v>
      </c>
    </row>
    <row r="131">
      <c r="A131" s="18" t="s">
        <v>294</v>
      </c>
      <c r="B131" s="3">
        <v>1124.0</v>
      </c>
    </row>
    <row r="132">
      <c r="A132" s="18" t="s">
        <v>295</v>
      </c>
      <c r="B132" s="3">
        <v>1125.0</v>
      </c>
    </row>
    <row r="133">
      <c r="A133" s="18" t="s">
        <v>297</v>
      </c>
      <c r="B133" s="3">
        <v>1126.0</v>
      </c>
    </row>
    <row r="134">
      <c r="A134" s="18" t="s">
        <v>298</v>
      </c>
      <c r="B134" s="3">
        <v>1127.0</v>
      </c>
    </row>
    <row r="135">
      <c r="A135" s="18" t="s">
        <v>299</v>
      </c>
      <c r="B135" s="3">
        <v>1128.0</v>
      </c>
    </row>
    <row r="136">
      <c r="A136" s="18" t="s">
        <v>301</v>
      </c>
      <c r="B136" s="3">
        <v>1129.0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0"/>
      <c r="B1" s="40"/>
      <c r="C1" s="40"/>
      <c r="D1" s="40"/>
      <c r="E1" s="40"/>
      <c r="F1" s="40"/>
      <c r="G1" s="40"/>
      <c r="H1" s="40"/>
    </row>
    <row r="2">
      <c r="M2" s="17"/>
    </row>
    <row r="3">
      <c r="A3" s="12" t="s">
        <v>482</v>
      </c>
      <c r="C3" s="3" t="s">
        <v>483</v>
      </c>
      <c r="E3" s="12" t="s">
        <v>484</v>
      </c>
      <c r="G3" s="41"/>
      <c r="M3" s="18"/>
    </row>
    <row r="4">
      <c r="A4" s="14">
        <f>SUM('SALES REPORT'!G2:G1000)</f>
        <v>329</v>
      </c>
      <c r="C4" s="29">
        <f t="array" ref="C4">COUNTA(UNIQUE('SALES REPORT'!B2:B1000))</f>
        <v>144</v>
      </c>
      <c r="E4" s="14">
        <v>237.0</v>
      </c>
      <c r="G4" s="42"/>
      <c r="L4" s="18"/>
      <c r="M4" s="18"/>
    </row>
    <row r="5">
      <c r="L5" s="18"/>
      <c r="M5" s="18"/>
    </row>
    <row r="6">
      <c r="A6" s="12"/>
    </row>
    <row r="7">
      <c r="A7" s="14"/>
      <c r="C7" s="40"/>
      <c r="D7" s="40"/>
      <c r="E7" s="40"/>
      <c r="F7" s="40"/>
      <c r="G7" s="40"/>
      <c r="H7" s="40"/>
      <c r="I7" s="40"/>
      <c r="J7" s="40"/>
      <c r="K7" s="40"/>
    </row>
    <row r="8">
      <c r="C8" s="40" t="s">
        <v>486</v>
      </c>
    </row>
    <row r="11">
      <c r="I11" s="43" t="s">
        <v>487</v>
      </c>
      <c r="J11" s="11"/>
      <c r="K11" s="3"/>
    </row>
    <row r="12">
      <c r="I12" s="44"/>
      <c r="J12" s="11"/>
    </row>
    <row r="13">
      <c r="I13" s="45" t="str">
        <f t="array" ref="I13">INDEX('ED ANALYSIS'!J3:J19,MATCH(MAX('ED ANALYSIS'!L3:L19),'ED ANALYSIS'!L3:L19,0))</f>
        <v>Lagos</v>
      </c>
      <c r="J13" s="11"/>
    </row>
    <row r="14">
      <c r="I14" s="44"/>
      <c r="J14" s="11"/>
    </row>
    <row r="21" ht="1.5" customHeight="1"/>
  </sheetData>
  <mergeCells count="10">
    <mergeCell ref="I13:J13"/>
    <mergeCell ref="I14:J14"/>
    <mergeCell ref="A8:B33"/>
    <mergeCell ref="C8:K8"/>
    <mergeCell ref="L8:M10"/>
    <mergeCell ref="C9:K10"/>
    <mergeCell ref="I11:J11"/>
    <mergeCell ref="K11:M117"/>
    <mergeCell ref="I12:J12"/>
    <mergeCell ref="A34:J11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6" width="16.38"/>
    <col customWidth="1" min="7" max="7" width="13.75"/>
    <col customWidth="1" min="11" max="11" width="16.63"/>
  </cols>
  <sheetData>
    <row r="1">
      <c r="G1" s="18"/>
      <c r="H1" s="18"/>
      <c r="I1" s="18"/>
    </row>
    <row r="2">
      <c r="A2" s="3" t="s">
        <v>437</v>
      </c>
      <c r="G2" s="18"/>
      <c r="H2" s="18"/>
      <c r="I2" s="18"/>
      <c r="J2" s="31" t="s">
        <v>438</v>
      </c>
      <c r="K2" s="32"/>
      <c r="L2" s="4"/>
      <c r="M2" s="3"/>
      <c r="N2" s="10" t="s">
        <v>228</v>
      </c>
      <c r="O2" s="11"/>
      <c r="Q2" s="3" t="s">
        <v>439</v>
      </c>
    </row>
    <row r="3">
      <c r="A3" s="3"/>
      <c r="G3" s="18"/>
      <c r="H3" s="18"/>
      <c r="I3" s="18"/>
      <c r="J3" s="4" t="s">
        <v>212</v>
      </c>
      <c r="K3" s="4" t="s">
        <v>213</v>
      </c>
      <c r="L3" s="4" t="s">
        <v>214</v>
      </c>
      <c r="M3" s="3"/>
      <c r="N3" s="12"/>
      <c r="O3" s="12"/>
      <c r="Q3" s="3"/>
    </row>
    <row r="4">
      <c r="G4" s="18"/>
      <c r="H4" s="33"/>
      <c r="I4" s="18"/>
      <c r="J4" s="5" t="str">
        <f t="array" ref="J4:J19">UNIQUE(Table1[State])</f>
        <v>Benin</v>
      </c>
      <c r="K4" s="5">
        <v>7.0</v>
      </c>
      <c r="L4" s="6">
        <v>0.023333333333333334</v>
      </c>
      <c r="M4" s="33"/>
      <c r="N4" s="13" t="s">
        <v>22</v>
      </c>
      <c r="O4" s="14">
        <v>37.0</v>
      </c>
    </row>
    <row r="5">
      <c r="A5" s="3" t="s">
        <v>440</v>
      </c>
      <c r="G5" s="18"/>
      <c r="H5" s="33"/>
      <c r="I5" s="18"/>
      <c r="J5" s="5" t="s">
        <v>216</v>
      </c>
      <c r="K5" s="5">
        <v>72.0</v>
      </c>
      <c r="L5" s="6">
        <v>0.24</v>
      </c>
      <c r="M5" s="33"/>
      <c r="N5" s="14" t="s">
        <v>158</v>
      </c>
      <c r="O5" s="14">
        <v>36.0</v>
      </c>
    </row>
    <row r="6">
      <c r="A6" s="3" t="s">
        <v>441</v>
      </c>
      <c r="G6" s="18"/>
      <c r="H6" s="33"/>
      <c r="I6" s="18"/>
      <c r="J6" s="5" t="s">
        <v>92</v>
      </c>
      <c r="K6" s="5">
        <v>16.0</v>
      </c>
      <c r="L6" s="6">
        <v>0.05333333333333334</v>
      </c>
      <c r="M6" s="33"/>
      <c r="N6" s="13" t="s">
        <v>58</v>
      </c>
      <c r="O6" s="14">
        <v>21.0</v>
      </c>
    </row>
    <row r="7">
      <c r="A7" s="3" t="s">
        <v>442</v>
      </c>
      <c r="G7" s="18"/>
      <c r="H7" s="33"/>
      <c r="I7" s="18"/>
      <c r="J7" s="5" t="s">
        <v>217</v>
      </c>
      <c r="K7" s="5">
        <v>1.0</v>
      </c>
      <c r="L7" s="6">
        <v>0.0033333333333333335</v>
      </c>
      <c r="M7" s="33"/>
      <c r="N7" s="14" t="s">
        <v>231</v>
      </c>
      <c r="O7" s="14">
        <v>19.0</v>
      </c>
    </row>
    <row r="8">
      <c r="G8" s="18"/>
      <c r="H8" s="33"/>
      <c r="I8" s="18"/>
      <c r="J8" s="5" t="s">
        <v>25</v>
      </c>
      <c r="K8" s="5">
        <v>81.0</v>
      </c>
      <c r="L8" s="6">
        <v>0.27</v>
      </c>
      <c r="M8" s="33"/>
      <c r="N8" s="13" t="s">
        <v>61</v>
      </c>
      <c r="O8" s="14">
        <v>17.0</v>
      </c>
    </row>
    <row r="9">
      <c r="A9" s="3" t="s">
        <v>444</v>
      </c>
      <c r="G9" s="18"/>
      <c r="H9" s="33"/>
      <c r="I9" s="18"/>
      <c r="J9" s="5" t="s">
        <v>218</v>
      </c>
      <c r="K9" s="5">
        <v>16.0</v>
      </c>
      <c r="L9" s="6">
        <v>0.05333333333333334</v>
      </c>
      <c r="M9" s="33"/>
      <c r="N9" s="13" t="s">
        <v>178</v>
      </c>
      <c r="O9" s="14">
        <v>15.0</v>
      </c>
    </row>
    <row r="10">
      <c r="A10" s="3" t="s">
        <v>445</v>
      </c>
      <c r="G10" s="18"/>
      <c r="H10" s="33"/>
      <c r="I10" s="18"/>
      <c r="J10" s="5" t="s">
        <v>219</v>
      </c>
      <c r="K10" s="5">
        <v>49.0</v>
      </c>
      <c r="L10" s="6">
        <v>0.16333333333333333</v>
      </c>
      <c r="M10" s="33"/>
      <c r="N10" s="14" t="s">
        <v>106</v>
      </c>
      <c r="O10" s="14">
        <v>13.0</v>
      </c>
    </row>
    <row r="11">
      <c r="G11" s="18"/>
      <c r="H11" s="33"/>
      <c r="I11" s="18"/>
      <c r="J11" s="5" t="s">
        <v>53</v>
      </c>
      <c r="K11" s="5">
        <v>3.0</v>
      </c>
      <c r="L11" s="6">
        <v>0.01</v>
      </c>
      <c r="M11" s="33"/>
      <c r="N11" s="13" t="s">
        <v>83</v>
      </c>
      <c r="O11" s="14">
        <v>13.0</v>
      </c>
    </row>
    <row r="12">
      <c r="G12" s="18"/>
      <c r="H12" s="33"/>
      <c r="I12" s="18"/>
      <c r="J12" s="5" t="s">
        <v>221</v>
      </c>
      <c r="K12" s="5">
        <v>6.0</v>
      </c>
      <c r="L12" s="6">
        <v>0.02</v>
      </c>
      <c r="M12" s="33"/>
      <c r="N12" s="13" t="s">
        <v>179</v>
      </c>
      <c r="O12" s="14">
        <v>11.0</v>
      </c>
    </row>
    <row r="13">
      <c r="G13" s="18"/>
      <c r="H13" s="33"/>
      <c r="I13" s="18"/>
      <c r="J13" s="5" t="s">
        <v>222</v>
      </c>
      <c r="K13" s="5">
        <v>2.0</v>
      </c>
      <c r="L13" s="6">
        <v>0.006666666666666667</v>
      </c>
      <c r="M13" s="33"/>
      <c r="N13" s="13" t="s">
        <v>57</v>
      </c>
      <c r="O13" s="14">
        <v>10.0</v>
      </c>
    </row>
    <row r="14">
      <c r="A14" s="3" t="s">
        <v>446</v>
      </c>
      <c r="D14" s="17"/>
      <c r="G14" s="3"/>
      <c r="H14" s="33"/>
      <c r="I14" s="18"/>
      <c r="J14" s="5" t="s">
        <v>223</v>
      </c>
      <c r="K14" s="5">
        <v>1.0</v>
      </c>
      <c r="L14" s="6">
        <v>0.0033333333333333335</v>
      </c>
      <c r="M14" s="33"/>
      <c r="N14" s="13" t="s">
        <v>232</v>
      </c>
      <c r="O14" s="14">
        <v>6.0</v>
      </c>
    </row>
    <row r="15">
      <c r="A15" s="18" t="s">
        <v>22</v>
      </c>
      <c r="G15" s="18"/>
      <c r="H15" s="33"/>
      <c r="I15" s="18"/>
      <c r="J15" s="5" t="s">
        <v>224</v>
      </c>
      <c r="K15" s="5">
        <v>5.0</v>
      </c>
      <c r="L15" s="6">
        <v>0.016666666666666666</v>
      </c>
      <c r="M15" s="33"/>
      <c r="N15" s="13" t="s">
        <v>81</v>
      </c>
      <c r="O15" s="14">
        <v>5.0</v>
      </c>
    </row>
    <row r="16">
      <c r="A16" s="29" t="s">
        <v>158</v>
      </c>
      <c r="E16" s="18"/>
      <c r="F16" s="18"/>
      <c r="G16" s="18"/>
      <c r="H16" s="33"/>
      <c r="I16" s="18"/>
      <c r="J16" s="5" t="s">
        <v>8</v>
      </c>
      <c r="K16" s="5">
        <v>33.0</v>
      </c>
      <c r="L16" s="6">
        <v>0.11</v>
      </c>
      <c r="M16" s="33"/>
      <c r="N16" s="13" t="s">
        <v>199</v>
      </c>
      <c r="O16" s="14">
        <v>4.0</v>
      </c>
    </row>
    <row r="17">
      <c r="A17" s="18" t="s">
        <v>58</v>
      </c>
      <c r="E17" s="18"/>
      <c r="F17" s="18"/>
      <c r="G17" s="18"/>
      <c r="H17" s="33"/>
      <c r="I17" s="18"/>
      <c r="J17" s="5" t="s">
        <v>225</v>
      </c>
      <c r="K17" s="5">
        <v>4.0</v>
      </c>
      <c r="L17" s="6">
        <v>0.013333333333333334</v>
      </c>
      <c r="M17" s="33"/>
      <c r="N17" s="14" t="s">
        <v>233</v>
      </c>
      <c r="O17" s="14">
        <v>4.0</v>
      </c>
    </row>
    <row r="18">
      <c r="A18" s="29" t="s">
        <v>231</v>
      </c>
      <c r="E18" s="18"/>
      <c r="F18" s="18"/>
      <c r="G18" s="18"/>
      <c r="H18" s="33"/>
      <c r="I18" s="18"/>
      <c r="J18" s="5" t="s">
        <v>226</v>
      </c>
      <c r="K18" s="5">
        <v>4.0</v>
      </c>
      <c r="L18" s="6">
        <v>0.013333333333333334</v>
      </c>
      <c r="M18" s="33"/>
      <c r="N18" s="13" t="s">
        <v>39</v>
      </c>
      <c r="O18" s="14">
        <v>3.0</v>
      </c>
    </row>
    <row r="19">
      <c r="A19" s="18" t="s">
        <v>61</v>
      </c>
      <c r="E19" s="18"/>
      <c r="F19" s="18"/>
      <c r="G19" s="18"/>
      <c r="H19" s="33"/>
      <c r="I19" s="18"/>
      <c r="J19" s="5" t="s">
        <v>227</v>
      </c>
      <c r="K19" s="5">
        <v>10.0</v>
      </c>
      <c r="L19" s="6">
        <v>0.03333333333333333</v>
      </c>
      <c r="M19" s="33"/>
      <c r="N19" s="13" t="s">
        <v>36</v>
      </c>
      <c r="O19" s="14">
        <v>3.0</v>
      </c>
    </row>
    <row r="20">
      <c r="A20" s="18" t="s">
        <v>178</v>
      </c>
      <c r="E20" s="18"/>
      <c r="F20" s="18"/>
      <c r="G20" s="18"/>
      <c r="H20" s="18"/>
      <c r="I20" s="18"/>
      <c r="N20" s="13" t="s">
        <v>234</v>
      </c>
      <c r="O20" s="14">
        <v>3.0</v>
      </c>
    </row>
    <row r="21">
      <c r="A21" s="18" t="s">
        <v>185</v>
      </c>
      <c r="E21" s="18"/>
      <c r="F21" s="18"/>
      <c r="G21" s="18"/>
      <c r="H21" s="18"/>
      <c r="I21" s="18"/>
      <c r="N21" s="14" t="s">
        <v>235</v>
      </c>
      <c r="O21" s="14">
        <v>2.0</v>
      </c>
    </row>
    <row r="22">
      <c r="A22" s="29" t="s">
        <v>106</v>
      </c>
      <c r="E22" s="18"/>
      <c r="F22" s="18"/>
      <c r="G22" s="18"/>
      <c r="H22" s="18"/>
      <c r="I22" s="18"/>
      <c r="J22" s="4" t="s">
        <v>263</v>
      </c>
      <c r="K22" s="23" t="s">
        <v>265</v>
      </c>
      <c r="N22" s="13" t="s">
        <v>236</v>
      </c>
      <c r="O22" s="14">
        <v>2.0</v>
      </c>
    </row>
    <row r="23">
      <c r="A23" s="18" t="s">
        <v>83</v>
      </c>
      <c r="E23" s="18"/>
      <c r="F23" s="18"/>
      <c r="G23" s="17" t="s">
        <v>260</v>
      </c>
      <c r="H23" s="18"/>
      <c r="I23" s="18"/>
      <c r="J23" s="24">
        <v>1103.0</v>
      </c>
      <c r="K23" s="21">
        <v>10.0</v>
      </c>
      <c r="N23" s="13" t="s">
        <v>237</v>
      </c>
      <c r="O23" s="14">
        <v>2.0</v>
      </c>
    </row>
    <row r="24">
      <c r="A24" s="18" t="s">
        <v>179</v>
      </c>
      <c r="D24" s="4" t="s">
        <v>447</v>
      </c>
      <c r="E24" s="23" t="s">
        <v>448</v>
      </c>
      <c r="F24" s="17"/>
      <c r="G24" s="34" t="s">
        <v>263</v>
      </c>
      <c r="H24" s="21" t="s">
        <v>265</v>
      </c>
      <c r="I24" s="18"/>
      <c r="J24" s="24">
        <v>1016.0</v>
      </c>
      <c r="K24" s="21">
        <v>8.0</v>
      </c>
      <c r="N24" s="13" t="s">
        <v>170</v>
      </c>
      <c r="O24" s="14">
        <v>2.0</v>
      </c>
    </row>
    <row r="25">
      <c r="A25" s="18" t="s">
        <v>57</v>
      </c>
      <c r="D25" s="5" t="s">
        <v>449</v>
      </c>
      <c r="E25" s="21" t="s">
        <v>450</v>
      </c>
      <c r="F25" s="18"/>
      <c r="G25" s="34">
        <v>1103.0</v>
      </c>
      <c r="H25" s="21">
        <v>10.0</v>
      </c>
      <c r="I25" s="18"/>
      <c r="J25" s="24">
        <v>1128.0</v>
      </c>
      <c r="K25" s="21">
        <v>8.0</v>
      </c>
      <c r="N25" s="13" t="s">
        <v>176</v>
      </c>
      <c r="O25" s="14">
        <v>1.0</v>
      </c>
    </row>
    <row r="26">
      <c r="A26" s="18" t="s">
        <v>232</v>
      </c>
      <c r="D26" s="21">
        <v>1016.0</v>
      </c>
      <c r="E26" s="21">
        <v>8.0</v>
      </c>
      <c r="F26" s="18"/>
      <c r="G26" s="34">
        <v>1016.0</v>
      </c>
      <c r="H26" s="21">
        <v>8.0</v>
      </c>
      <c r="I26" s="18"/>
      <c r="J26" s="24">
        <v>1112.0</v>
      </c>
      <c r="K26" s="21">
        <v>7.0</v>
      </c>
      <c r="N26" s="13" t="s">
        <v>177</v>
      </c>
      <c r="O26" s="14">
        <v>1.0</v>
      </c>
    </row>
    <row r="27">
      <c r="A27" s="18" t="s">
        <v>81</v>
      </c>
      <c r="D27" s="21">
        <v>1128.0</v>
      </c>
      <c r="E27" s="21">
        <v>8.0</v>
      </c>
      <c r="F27" s="18"/>
      <c r="G27" s="34">
        <v>1128.0</v>
      </c>
      <c r="H27" s="21">
        <v>8.0</v>
      </c>
      <c r="I27" s="18"/>
      <c r="J27" s="24">
        <v>1007.0</v>
      </c>
      <c r="K27" s="21">
        <v>6.0</v>
      </c>
      <c r="N27" s="14" t="s">
        <v>238</v>
      </c>
      <c r="O27" s="14">
        <v>1.0</v>
      </c>
    </row>
    <row r="28">
      <c r="A28" s="18" t="s">
        <v>199</v>
      </c>
      <c r="E28" s="18"/>
      <c r="F28" s="18"/>
      <c r="G28" s="21">
        <v>1112.0</v>
      </c>
      <c r="H28" s="21">
        <v>7.0</v>
      </c>
      <c r="I28" s="18"/>
      <c r="J28" s="24">
        <v>1020.0</v>
      </c>
      <c r="K28" s="21">
        <v>6.0</v>
      </c>
      <c r="N28" s="14" t="s">
        <v>123</v>
      </c>
      <c r="O28" s="14">
        <v>1.0</v>
      </c>
    </row>
    <row r="29">
      <c r="A29" s="29" t="s">
        <v>233</v>
      </c>
      <c r="D29" s="18"/>
      <c r="E29" s="18"/>
      <c r="F29" s="18"/>
      <c r="G29" s="21">
        <v>1007.0</v>
      </c>
      <c r="H29" s="21">
        <v>6.0</v>
      </c>
      <c r="I29" s="18"/>
      <c r="J29" s="24">
        <v>1027.0</v>
      </c>
      <c r="K29" s="21">
        <v>6.0</v>
      </c>
      <c r="N29" s="13" t="s">
        <v>195</v>
      </c>
      <c r="O29" s="14">
        <v>1.0</v>
      </c>
    </row>
    <row r="30">
      <c r="A30" s="18" t="s">
        <v>39</v>
      </c>
      <c r="D30" s="18"/>
      <c r="E30" s="18"/>
      <c r="F30" s="18"/>
      <c r="G30" s="21">
        <v>1020.0</v>
      </c>
      <c r="H30" s="21">
        <v>6.0</v>
      </c>
      <c r="I30" s="18"/>
      <c r="J30" s="24">
        <v>1032.0</v>
      </c>
      <c r="K30" s="21">
        <v>6.0</v>
      </c>
      <c r="N30" s="13" t="s">
        <v>239</v>
      </c>
      <c r="O30" s="14">
        <v>1.0</v>
      </c>
    </row>
    <row r="31">
      <c r="A31" s="18" t="s">
        <v>36</v>
      </c>
      <c r="D31" s="18"/>
      <c r="E31" s="18"/>
      <c r="F31" s="18"/>
      <c r="G31" s="21">
        <v>1027.0</v>
      </c>
      <c r="H31" s="21">
        <v>6.0</v>
      </c>
      <c r="I31" s="18"/>
      <c r="J31" s="24">
        <v>1054.0</v>
      </c>
      <c r="K31" s="21">
        <v>5.0</v>
      </c>
      <c r="N31" s="13" t="s">
        <v>85</v>
      </c>
      <c r="O31" s="14">
        <v>1.0</v>
      </c>
    </row>
    <row r="32">
      <c r="A32" s="18" t="s">
        <v>234</v>
      </c>
      <c r="E32" s="18"/>
      <c r="F32" s="18"/>
      <c r="G32" s="21">
        <v>1032.0</v>
      </c>
      <c r="H32" s="21">
        <v>6.0</v>
      </c>
      <c r="I32" s="18"/>
      <c r="J32" s="24">
        <v>1057.0</v>
      </c>
      <c r="K32" s="21">
        <v>5.0</v>
      </c>
      <c r="N32" s="13" t="s">
        <v>116</v>
      </c>
      <c r="O32" s="14">
        <v>1.0</v>
      </c>
    </row>
    <row r="33">
      <c r="A33" s="29" t="s">
        <v>235</v>
      </c>
      <c r="D33" s="18"/>
      <c r="E33" s="18"/>
      <c r="F33" s="18"/>
      <c r="G33" s="21">
        <v>1054.0</v>
      </c>
      <c r="H33" s="21">
        <v>5.0</v>
      </c>
      <c r="I33" s="18"/>
      <c r="J33" s="24">
        <v>1061.0</v>
      </c>
      <c r="K33" s="21">
        <v>5.0</v>
      </c>
      <c r="N33" s="13" t="s">
        <v>243</v>
      </c>
      <c r="O33" s="14">
        <v>1.0</v>
      </c>
    </row>
    <row r="34">
      <c r="A34" s="18" t="s">
        <v>236</v>
      </c>
      <c r="D34" s="18"/>
      <c r="E34" s="18"/>
      <c r="F34" s="18"/>
      <c r="G34" s="21">
        <v>1057.0</v>
      </c>
      <c r="H34" s="21">
        <v>5.0</v>
      </c>
      <c r="I34" s="18"/>
      <c r="J34" s="24">
        <v>1082.0</v>
      </c>
      <c r="K34" s="21">
        <v>5.0</v>
      </c>
      <c r="N34" s="14" t="s">
        <v>244</v>
      </c>
      <c r="O34" s="14">
        <v>1.0</v>
      </c>
    </row>
    <row r="35">
      <c r="A35" s="18" t="s">
        <v>237</v>
      </c>
      <c r="D35" s="18"/>
      <c r="E35" s="18"/>
      <c r="F35" s="18"/>
      <c r="G35" s="18"/>
      <c r="H35" s="18"/>
      <c r="I35" s="18"/>
      <c r="J35" s="24">
        <v>1105.0</v>
      </c>
      <c r="K35" s="21">
        <v>5.0</v>
      </c>
      <c r="N35" s="13" t="s">
        <v>245</v>
      </c>
      <c r="O35" s="14">
        <v>1.0</v>
      </c>
    </row>
    <row r="36">
      <c r="A36" s="18" t="s">
        <v>170</v>
      </c>
      <c r="D36" s="18"/>
      <c r="E36" s="18"/>
      <c r="F36" s="18"/>
      <c r="G36" s="18"/>
      <c r="H36" s="18"/>
      <c r="I36" s="18"/>
      <c r="J36" s="24">
        <v>1130.0</v>
      </c>
      <c r="K36" s="21">
        <v>5.0</v>
      </c>
      <c r="N36" s="14" t="s">
        <v>246</v>
      </c>
      <c r="O36" s="14">
        <v>1.0</v>
      </c>
    </row>
    <row r="37">
      <c r="A37" s="18" t="s">
        <v>176</v>
      </c>
      <c r="D37" s="18"/>
      <c r="E37" s="18"/>
      <c r="F37" s="18"/>
      <c r="G37" s="18"/>
      <c r="H37" s="18"/>
      <c r="I37" s="18"/>
      <c r="J37" s="24">
        <v>1001.0</v>
      </c>
      <c r="K37" s="21">
        <v>4.0</v>
      </c>
      <c r="N37" s="13" t="s">
        <v>248</v>
      </c>
      <c r="O37" s="14">
        <v>1.0</v>
      </c>
    </row>
    <row r="38">
      <c r="A38" s="18" t="s">
        <v>177</v>
      </c>
      <c r="E38" s="18"/>
      <c r="F38" s="18"/>
      <c r="G38" s="18"/>
      <c r="H38" s="18"/>
      <c r="I38" s="18"/>
      <c r="J38" s="24">
        <v>1028.0</v>
      </c>
      <c r="K38" s="21">
        <v>4.0</v>
      </c>
      <c r="N38" s="14" t="s">
        <v>249</v>
      </c>
      <c r="O38" s="14">
        <v>1.0</v>
      </c>
    </row>
    <row r="39">
      <c r="A39" s="29" t="s">
        <v>238</v>
      </c>
      <c r="E39" s="18"/>
      <c r="F39" s="18"/>
      <c r="G39" s="18"/>
      <c r="H39" s="18"/>
      <c r="I39" s="18"/>
      <c r="J39" s="24">
        <v>1030.0</v>
      </c>
      <c r="K39" s="21">
        <v>4.0</v>
      </c>
      <c r="N39" s="13" t="s">
        <v>250</v>
      </c>
      <c r="O39" s="14">
        <v>1.0</v>
      </c>
    </row>
    <row r="40">
      <c r="A40" s="29" t="s">
        <v>123</v>
      </c>
      <c r="D40" s="18"/>
      <c r="E40" s="18"/>
      <c r="F40" s="18"/>
      <c r="G40" s="18"/>
      <c r="H40" s="18"/>
      <c r="I40" s="18"/>
      <c r="J40" s="24">
        <v>1034.0</v>
      </c>
      <c r="K40" s="21">
        <v>4.0</v>
      </c>
      <c r="N40" s="13" t="s">
        <v>97</v>
      </c>
      <c r="O40" s="14">
        <v>1.0</v>
      </c>
    </row>
    <row r="41">
      <c r="A41" s="18" t="s">
        <v>195</v>
      </c>
      <c r="D41" s="18"/>
      <c r="E41" s="18"/>
      <c r="F41" s="18"/>
      <c r="G41" s="18"/>
      <c r="H41" s="18"/>
      <c r="I41" s="18"/>
      <c r="J41" s="24">
        <v>1044.0</v>
      </c>
      <c r="K41" s="21">
        <v>4.0</v>
      </c>
      <c r="N41" s="13" t="s">
        <v>251</v>
      </c>
      <c r="O41" s="14">
        <v>1.0</v>
      </c>
    </row>
    <row r="42">
      <c r="A42" s="18" t="s">
        <v>239</v>
      </c>
      <c r="D42" s="18"/>
      <c r="E42" s="18"/>
      <c r="F42" s="18"/>
      <c r="G42" s="18"/>
      <c r="H42" s="18"/>
      <c r="I42" s="18"/>
      <c r="J42" s="24">
        <v>1058.0</v>
      </c>
      <c r="K42" s="21">
        <v>4.0</v>
      </c>
      <c r="N42" s="13" t="s">
        <v>253</v>
      </c>
      <c r="O42" s="14">
        <v>1.0</v>
      </c>
    </row>
    <row r="43">
      <c r="A43" s="18" t="s">
        <v>85</v>
      </c>
      <c r="D43" s="18"/>
      <c r="E43" s="18"/>
      <c r="F43" s="18"/>
      <c r="G43" s="18"/>
      <c r="H43" s="18"/>
      <c r="I43" s="18"/>
      <c r="J43" s="24">
        <v>1064.0</v>
      </c>
      <c r="K43" s="21">
        <v>4.0</v>
      </c>
      <c r="N43" s="13" t="s">
        <v>254</v>
      </c>
      <c r="O43" s="14">
        <v>1.0</v>
      </c>
    </row>
    <row r="44">
      <c r="A44" s="18" t="s">
        <v>116</v>
      </c>
      <c r="D44" s="18"/>
      <c r="E44" s="18"/>
      <c r="F44" s="18"/>
      <c r="G44" s="18"/>
      <c r="H44" s="18"/>
      <c r="I44" s="18"/>
      <c r="J44" s="24">
        <v>1066.0</v>
      </c>
      <c r="K44" s="21">
        <v>4.0</v>
      </c>
      <c r="N44" s="13" t="s">
        <v>255</v>
      </c>
      <c r="O44" s="14">
        <v>1.0</v>
      </c>
    </row>
    <row r="45">
      <c r="A45" s="18" t="s">
        <v>243</v>
      </c>
      <c r="E45" s="18"/>
      <c r="F45" s="18"/>
      <c r="G45" s="18"/>
      <c r="H45" s="18"/>
      <c r="I45" s="18"/>
      <c r="J45" s="24">
        <v>1078.0</v>
      </c>
      <c r="K45" s="21">
        <v>4.0</v>
      </c>
      <c r="N45" s="13" t="s">
        <v>257</v>
      </c>
      <c r="O45" s="14">
        <v>1.0</v>
      </c>
    </row>
    <row r="46">
      <c r="A46" s="29" t="s">
        <v>244</v>
      </c>
      <c r="D46" s="18"/>
      <c r="E46" s="18"/>
      <c r="F46" s="18"/>
      <c r="G46" s="18"/>
      <c r="H46" s="18"/>
      <c r="I46" s="18"/>
      <c r="J46" s="24">
        <v>1081.0</v>
      </c>
      <c r="K46" s="21">
        <v>4.0</v>
      </c>
      <c r="N46" s="13" t="s">
        <v>259</v>
      </c>
      <c r="O46" s="14">
        <v>1.0</v>
      </c>
    </row>
    <row r="47">
      <c r="A47" s="18" t="s">
        <v>245</v>
      </c>
      <c r="E47" s="18"/>
      <c r="F47" s="18"/>
      <c r="G47" s="18"/>
      <c r="H47" s="18"/>
      <c r="I47" s="18"/>
      <c r="J47" s="24">
        <v>1087.0</v>
      </c>
      <c r="K47" s="21">
        <v>4.0</v>
      </c>
    </row>
    <row r="48">
      <c r="A48" s="29" t="s">
        <v>246</v>
      </c>
      <c r="D48" s="18"/>
      <c r="E48" s="18"/>
      <c r="F48" s="18"/>
      <c r="G48" s="18"/>
      <c r="H48" s="18"/>
      <c r="I48" s="18"/>
      <c r="J48" s="24">
        <v>1092.0</v>
      </c>
      <c r="K48" s="21">
        <v>4.0</v>
      </c>
    </row>
    <row r="49">
      <c r="A49" s="18" t="s">
        <v>248</v>
      </c>
      <c r="E49" s="18"/>
      <c r="F49" s="18"/>
      <c r="G49" s="18"/>
      <c r="H49" s="18"/>
      <c r="I49" s="18"/>
      <c r="J49" s="24">
        <v>1129.0</v>
      </c>
      <c r="K49" s="21">
        <v>4.0</v>
      </c>
    </row>
    <row r="50">
      <c r="A50" s="29" t="s">
        <v>249</v>
      </c>
      <c r="D50" s="18"/>
      <c r="E50" s="18"/>
      <c r="F50" s="18"/>
      <c r="G50" s="18"/>
      <c r="H50" s="18"/>
      <c r="I50" s="18"/>
      <c r="J50" s="24">
        <v>1005.0</v>
      </c>
      <c r="K50" s="21">
        <v>3.0</v>
      </c>
    </row>
    <row r="51">
      <c r="A51" s="18" t="s">
        <v>250</v>
      </c>
      <c r="D51" s="18"/>
      <c r="E51" s="18"/>
      <c r="F51" s="18"/>
      <c r="G51" s="18"/>
      <c r="H51" s="18"/>
      <c r="I51" s="18"/>
      <c r="J51" s="24">
        <v>1014.0</v>
      </c>
      <c r="K51" s="21">
        <v>3.0</v>
      </c>
    </row>
    <row r="52">
      <c r="A52" s="18" t="s">
        <v>97</v>
      </c>
      <c r="D52" s="18"/>
      <c r="E52" s="18"/>
      <c r="F52" s="18"/>
      <c r="G52" s="18"/>
      <c r="H52" s="18"/>
      <c r="I52" s="18"/>
      <c r="J52" s="24">
        <v>1015.0</v>
      </c>
      <c r="K52" s="21">
        <v>3.0</v>
      </c>
    </row>
    <row r="53">
      <c r="A53" s="18" t="s">
        <v>251</v>
      </c>
      <c r="D53" s="18"/>
      <c r="E53" s="18"/>
      <c r="F53" s="18"/>
      <c r="G53" s="18"/>
      <c r="H53" s="18"/>
      <c r="I53" s="18"/>
      <c r="J53" s="24">
        <v>1024.0</v>
      </c>
      <c r="K53" s="21">
        <v>3.0</v>
      </c>
    </row>
    <row r="54">
      <c r="A54" s="18" t="s">
        <v>253</v>
      </c>
      <c r="D54" s="18"/>
      <c r="E54" s="18"/>
      <c r="F54" s="18"/>
      <c r="G54" s="18"/>
      <c r="H54" s="18"/>
      <c r="I54" s="18"/>
      <c r="J54" s="24">
        <v>1033.0</v>
      </c>
      <c r="K54" s="21">
        <v>3.0</v>
      </c>
    </row>
    <row r="55">
      <c r="A55" s="18" t="s">
        <v>254</v>
      </c>
      <c r="D55" s="18"/>
      <c r="E55" s="18"/>
      <c r="F55" s="18"/>
      <c r="G55" s="18"/>
      <c r="H55" s="18"/>
      <c r="I55" s="18"/>
      <c r="J55" s="24">
        <v>1041.0</v>
      </c>
      <c r="K55" s="21">
        <v>3.0</v>
      </c>
    </row>
    <row r="56">
      <c r="A56" s="18" t="s">
        <v>255</v>
      </c>
      <c r="D56" s="18"/>
      <c r="E56" s="18"/>
      <c r="F56" s="18"/>
      <c r="G56" s="18"/>
      <c r="H56" s="18"/>
      <c r="I56" s="18"/>
      <c r="J56" s="24">
        <v>1059.0</v>
      </c>
      <c r="K56" s="21">
        <v>3.0</v>
      </c>
    </row>
    <row r="57">
      <c r="A57" s="18" t="s">
        <v>257</v>
      </c>
      <c r="D57" s="18"/>
      <c r="E57" s="18"/>
      <c r="F57" s="18"/>
      <c r="G57" s="18"/>
      <c r="H57" s="18"/>
      <c r="I57" s="18"/>
      <c r="J57" s="24">
        <v>1076.0</v>
      </c>
      <c r="K57" s="21">
        <v>3.0</v>
      </c>
    </row>
    <row r="58">
      <c r="A58" s="18" t="s">
        <v>259</v>
      </c>
      <c r="E58" s="18"/>
      <c r="F58" s="18"/>
      <c r="G58" s="18"/>
      <c r="H58" s="18"/>
      <c r="I58" s="18"/>
      <c r="J58" s="24">
        <v>1101.0</v>
      </c>
      <c r="K58" s="21">
        <v>3.0</v>
      </c>
    </row>
    <row r="59">
      <c r="E59" s="18"/>
      <c r="F59" s="18"/>
      <c r="G59" s="18"/>
      <c r="H59" s="18"/>
      <c r="I59" s="18"/>
      <c r="J59" s="24">
        <v>1104.0</v>
      </c>
      <c r="K59" s="21">
        <v>3.0</v>
      </c>
    </row>
    <row r="60">
      <c r="E60" s="18"/>
      <c r="F60" s="18"/>
      <c r="G60" s="18"/>
      <c r="H60" s="18"/>
      <c r="I60" s="18"/>
      <c r="J60" s="24">
        <v>1118.0</v>
      </c>
      <c r="K60" s="21">
        <v>3.0</v>
      </c>
    </row>
    <row r="61">
      <c r="E61" s="18"/>
      <c r="F61" s="18"/>
      <c r="G61" s="18"/>
      <c r="H61" s="18"/>
      <c r="I61" s="18"/>
      <c r="J61" s="24">
        <v>1133.0</v>
      </c>
      <c r="K61" s="21">
        <v>3.0</v>
      </c>
    </row>
    <row r="62">
      <c r="E62" s="18"/>
      <c r="F62" s="18"/>
      <c r="G62" s="18"/>
      <c r="H62" s="18"/>
      <c r="I62" s="18"/>
      <c r="J62" s="24">
        <v>1134.0</v>
      </c>
      <c r="K62" s="21">
        <v>3.0</v>
      </c>
    </row>
    <row r="63">
      <c r="E63" s="18"/>
      <c r="F63" s="18"/>
      <c r="G63" s="18"/>
      <c r="H63" s="18"/>
      <c r="I63" s="18"/>
      <c r="J63" s="24">
        <v>1139.0</v>
      </c>
      <c r="K63" s="21">
        <v>3.0</v>
      </c>
    </row>
    <row r="64">
      <c r="E64" s="18"/>
      <c r="F64" s="18"/>
      <c r="G64" s="18"/>
      <c r="H64" s="18"/>
      <c r="I64" s="18"/>
      <c r="J64" s="24">
        <v>1143.0</v>
      </c>
      <c r="K64" s="21">
        <v>3.0</v>
      </c>
    </row>
    <row r="65">
      <c r="E65" s="18"/>
      <c r="F65" s="18"/>
      <c r="G65" s="18"/>
      <c r="H65" s="18"/>
      <c r="I65" s="18"/>
      <c r="J65" s="24">
        <v>1003.0</v>
      </c>
      <c r="K65" s="21">
        <v>2.0</v>
      </c>
    </row>
    <row r="66">
      <c r="E66" s="18"/>
      <c r="F66" s="18"/>
      <c r="G66" s="18"/>
      <c r="H66" s="18"/>
      <c r="I66" s="18"/>
      <c r="J66" s="24">
        <v>1006.0</v>
      </c>
      <c r="K66" s="21">
        <v>2.0</v>
      </c>
    </row>
    <row r="67">
      <c r="E67" s="18"/>
      <c r="F67" s="18"/>
      <c r="G67" s="18"/>
      <c r="H67" s="18"/>
      <c r="I67" s="18"/>
      <c r="J67" s="24">
        <v>1009.0</v>
      </c>
      <c r="K67" s="21">
        <v>2.0</v>
      </c>
    </row>
    <row r="68">
      <c r="E68" s="18"/>
      <c r="F68" s="18"/>
      <c r="G68" s="18"/>
      <c r="H68" s="18"/>
      <c r="I68" s="18"/>
      <c r="J68" s="24">
        <v>1022.0</v>
      </c>
      <c r="K68" s="21">
        <v>2.0</v>
      </c>
    </row>
    <row r="69">
      <c r="E69" s="18"/>
      <c r="F69" s="18"/>
      <c r="G69" s="18"/>
      <c r="H69" s="18"/>
      <c r="I69" s="18"/>
      <c r="J69" s="24">
        <v>1023.0</v>
      </c>
      <c r="K69" s="21">
        <v>2.0</v>
      </c>
    </row>
    <row r="70">
      <c r="E70" s="18"/>
      <c r="F70" s="18"/>
      <c r="G70" s="18"/>
      <c r="H70" s="18"/>
      <c r="I70" s="18"/>
      <c r="J70" s="24">
        <v>1026.0</v>
      </c>
      <c r="K70" s="21">
        <v>2.0</v>
      </c>
    </row>
    <row r="71">
      <c r="E71" s="18"/>
      <c r="F71" s="18"/>
      <c r="G71" s="18"/>
      <c r="H71" s="18"/>
      <c r="I71" s="18"/>
      <c r="J71" s="24">
        <v>1036.0</v>
      </c>
      <c r="K71" s="21">
        <v>2.0</v>
      </c>
    </row>
    <row r="72">
      <c r="E72" s="18"/>
      <c r="F72" s="18"/>
      <c r="G72" s="18"/>
      <c r="H72" s="18"/>
      <c r="I72" s="18"/>
      <c r="J72" s="24">
        <v>1037.0</v>
      </c>
      <c r="K72" s="21">
        <v>2.0</v>
      </c>
    </row>
    <row r="73">
      <c r="E73" s="18"/>
      <c r="F73" s="18"/>
      <c r="G73" s="18"/>
      <c r="H73" s="18"/>
      <c r="I73" s="18"/>
      <c r="J73" s="24">
        <v>1039.0</v>
      </c>
      <c r="K73" s="21">
        <v>2.0</v>
      </c>
    </row>
    <row r="74">
      <c r="E74" s="18"/>
      <c r="F74" s="18"/>
      <c r="G74" s="18"/>
      <c r="H74" s="18"/>
      <c r="I74" s="18"/>
      <c r="J74" s="24">
        <v>1045.0</v>
      </c>
      <c r="K74" s="21">
        <v>2.0</v>
      </c>
    </row>
    <row r="75">
      <c r="E75" s="18"/>
      <c r="F75" s="18"/>
      <c r="G75" s="18"/>
      <c r="H75" s="18"/>
      <c r="I75" s="18"/>
      <c r="J75" s="24">
        <v>1063.0</v>
      </c>
      <c r="K75" s="21">
        <v>2.0</v>
      </c>
    </row>
    <row r="76">
      <c r="E76" s="18"/>
      <c r="F76" s="18"/>
      <c r="G76" s="18"/>
      <c r="H76" s="18"/>
      <c r="I76" s="18"/>
      <c r="J76" s="24">
        <v>1065.0</v>
      </c>
      <c r="K76" s="21">
        <v>2.0</v>
      </c>
    </row>
    <row r="77">
      <c r="E77" s="18"/>
      <c r="F77" s="18"/>
      <c r="G77" s="18"/>
      <c r="H77" s="18"/>
      <c r="I77" s="18"/>
      <c r="J77" s="24">
        <v>1070.0</v>
      </c>
      <c r="K77" s="21">
        <v>2.0</v>
      </c>
    </row>
    <row r="78">
      <c r="E78" s="18"/>
      <c r="F78" s="18"/>
      <c r="G78" s="18"/>
      <c r="H78" s="18"/>
      <c r="I78" s="18"/>
      <c r="J78" s="24">
        <v>1071.0</v>
      </c>
      <c r="K78" s="21">
        <v>2.0</v>
      </c>
    </row>
    <row r="79">
      <c r="E79" s="18"/>
      <c r="F79" s="18"/>
      <c r="G79" s="18"/>
      <c r="H79" s="18"/>
      <c r="I79" s="18"/>
      <c r="J79" s="24">
        <v>1074.0</v>
      </c>
      <c r="K79" s="21">
        <v>2.0</v>
      </c>
    </row>
    <row r="80">
      <c r="E80" s="18"/>
      <c r="F80" s="18"/>
      <c r="G80" s="18"/>
      <c r="H80" s="18"/>
      <c r="I80" s="18"/>
      <c r="J80" s="24">
        <v>1077.0</v>
      </c>
      <c r="K80" s="21">
        <v>2.0</v>
      </c>
    </row>
    <row r="81">
      <c r="E81" s="18"/>
      <c r="F81" s="18"/>
      <c r="G81" s="18"/>
      <c r="H81" s="18"/>
      <c r="I81" s="18"/>
      <c r="J81" s="24">
        <v>1080.0</v>
      </c>
      <c r="K81" s="21">
        <v>2.0</v>
      </c>
    </row>
    <row r="82">
      <c r="E82" s="18"/>
      <c r="F82" s="18"/>
      <c r="G82" s="18"/>
      <c r="H82" s="18"/>
      <c r="I82" s="18"/>
      <c r="J82" s="24">
        <v>1085.0</v>
      </c>
      <c r="K82" s="21">
        <v>2.0</v>
      </c>
    </row>
    <row r="83">
      <c r="E83" s="18"/>
      <c r="F83" s="18"/>
      <c r="G83" s="18"/>
      <c r="H83" s="18"/>
      <c r="I83" s="18"/>
      <c r="J83" s="24">
        <v>1088.0</v>
      </c>
      <c r="K83" s="21">
        <v>2.0</v>
      </c>
    </row>
    <row r="84">
      <c r="E84" s="18"/>
      <c r="F84" s="18"/>
      <c r="G84" s="18"/>
      <c r="H84" s="18"/>
      <c r="I84" s="18"/>
      <c r="J84" s="24">
        <v>1089.0</v>
      </c>
      <c r="K84" s="21">
        <v>2.0</v>
      </c>
    </row>
    <row r="85">
      <c r="E85" s="18"/>
      <c r="F85" s="18"/>
      <c r="G85" s="18"/>
      <c r="H85" s="18"/>
      <c r="I85" s="18"/>
      <c r="J85" s="24">
        <v>1090.0</v>
      </c>
      <c r="K85" s="21">
        <v>2.0</v>
      </c>
    </row>
    <row r="86">
      <c r="E86" s="18"/>
      <c r="F86" s="18"/>
      <c r="G86" s="18"/>
      <c r="H86" s="18"/>
      <c r="I86" s="18"/>
      <c r="J86" s="24">
        <v>1091.0</v>
      </c>
      <c r="K86" s="21">
        <v>2.0</v>
      </c>
    </row>
    <row r="87">
      <c r="E87" s="18"/>
      <c r="F87" s="18"/>
      <c r="G87" s="18"/>
      <c r="H87" s="18"/>
      <c r="I87" s="18"/>
      <c r="J87" s="24">
        <v>1093.0</v>
      </c>
      <c r="K87" s="21">
        <v>2.0</v>
      </c>
    </row>
    <row r="88">
      <c r="E88" s="18"/>
      <c r="F88" s="18"/>
      <c r="G88" s="18"/>
      <c r="H88" s="18"/>
      <c r="I88" s="18"/>
      <c r="J88" s="24">
        <v>1094.0</v>
      </c>
      <c r="K88" s="21">
        <v>2.0</v>
      </c>
    </row>
    <row r="89">
      <c r="E89" s="18"/>
      <c r="F89" s="18"/>
      <c r="G89" s="18"/>
      <c r="H89" s="18"/>
      <c r="I89" s="18"/>
      <c r="J89" s="24">
        <v>1096.0</v>
      </c>
      <c r="K89" s="21">
        <v>2.0</v>
      </c>
    </row>
    <row r="90">
      <c r="E90" s="18"/>
      <c r="F90" s="18"/>
      <c r="G90" s="18"/>
      <c r="H90" s="18"/>
      <c r="I90" s="18"/>
      <c r="J90" s="24">
        <v>1098.0</v>
      </c>
      <c r="K90" s="21">
        <v>2.0</v>
      </c>
    </row>
    <row r="91">
      <c r="E91" s="18"/>
      <c r="F91" s="18"/>
      <c r="G91" s="18"/>
      <c r="H91" s="18"/>
      <c r="I91" s="18"/>
      <c r="J91" s="24">
        <v>1099.0</v>
      </c>
      <c r="K91" s="21">
        <v>2.0</v>
      </c>
    </row>
    <row r="92">
      <c r="E92" s="18"/>
      <c r="F92" s="18"/>
      <c r="G92" s="18"/>
      <c r="H92" s="18"/>
      <c r="I92" s="18"/>
      <c r="J92" s="24">
        <v>1106.0</v>
      </c>
      <c r="K92" s="21">
        <v>2.0</v>
      </c>
    </row>
    <row r="93">
      <c r="E93" s="18"/>
      <c r="F93" s="18"/>
      <c r="G93" s="18"/>
      <c r="H93" s="18"/>
      <c r="I93" s="18"/>
      <c r="J93" s="24">
        <v>1108.0</v>
      </c>
      <c r="K93" s="21">
        <v>2.0</v>
      </c>
    </row>
    <row r="94">
      <c r="E94" s="18"/>
      <c r="F94" s="18"/>
      <c r="G94" s="18"/>
      <c r="H94" s="18"/>
      <c r="I94" s="18"/>
      <c r="J94" s="24">
        <v>1109.0</v>
      </c>
      <c r="K94" s="21">
        <v>2.0</v>
      </c>
    </row>
    <row r="95">
      <c r="E95" s="18"/>
      <c r="F95" s="18"/>
      <c r="G95" s="18"/>
      <c r="H95" s="18"/>
      <c r="I95" s="18"/>
      <c r="J95" s="24">
        <v>1111.0</v>
      </c>
      <c r="K95" s="21">
        <v>2.0</v>
      </c>
    </row>
    <row r="96">
      <c r="E96" s="18"/>
      <c r="F96" s="18"/>
      <c r="G96" s="18"/>
      <c r="H96" s="18"/>
      <c r="I96" s="18"/>
      <c r="J96" s="24">
        <v>1114.0</v>
      </c>
      <c r="K96" s="21">
        <v>2.0</v>
      </c>
    </row>
    <row r="97">
      <c r="E97" s="18"/>
      <c r="F97" s="18"/>
      <c r="G97" s="18"/>
      <c r="H97" s="18"/>
      <c r="I97" s="18"/>
      <c r="J97" s="24">
        <v>1115.0</v>
      </c>
      <c r="K97" s="21">
        <v>2.0</v>
      </c>
    </row>
    <row r="98">
      <c r="E98" s="18"/>
      <c r="F98" s="18"/>
      <c r="G98" s="18"/>
      <c r="H98" s="18"/>
      <c r="I98" s="18"/>
      <c r="J98" s="24">
        <v>1117.0</v>
      </c>
      <c r="K98" s="21">
        <v>2.0</v>
      </c>
    </row>
    <row r="99">
      <c r="E99" s="18"/>
      <c r="F99" s="18"/>
      <c r="G99" s="18"/>
      <c r="H99" s="18"/>
      <c r="I99" s="18"/>
      <c r="J99" s="24">
        <v>1122.0</v>
      </c>
      <c r="K99" s="21">
        <v>2.0</v>
      </c>
    </row>
    <row r="100">
      <c r="E100" s="18"/>
      <c r="F100" s="18"/>
      <c r="G100" s="18"/>
      <c r="H100" s="18"/>
      <c r="I100" s="18"/>
      <c r="J100" s="24">
        <v>1123.0</v>
      </c>
      <c r="K100" s="21">
        <v>2.0</v>
      </c>
    </row>
    <row r="101">
      <c r="E101" s="18"/>
      <c r="F101" s="18"/>
      <c r="G101" s="18"/>
      <c r="H101" s="18"/>
      <c r="I101" s="18"/>
      <c r="J101" s="24">
        <v>1125.0</v>
      </c>
      <c r="K101" s="21">
        <v>2.0</v>
      </c>
    </row>
    <row r="102">
      <c r="E102" s="18"/>
      <c r="F102" s="18"/>
      <c r="G102" s="18"/>
      <c r="H102" s="18"/>
      <c r="I102" s="18"/>
      <c r="J102" s="24">
        <v>1126.0</v>
      </c>
      <c r="K102" s="21">
        <v>2.0</v>
      </c>
    </row>
    <row r="103">
      <c r="E103" s="18"/>
      <c r="F103" s="18"/>
      <c r="G103" s="18"/>
      <c r="H103" s="18"/>
      <c r="I103" s="18"/>
      <c r="J103" s="24">
        <v>1127.0</v>
      </c>
      <c r="K103" s="21">
        <v>2.0</v>
      </c>
    </row>
    <row r="104">
      <c r="E104" s="18"/>
      <c r="F104" s="18"/>
      <c r="G104" s="18"/>
      <c r="H104" s="18"/>
      <c r="I104" s="18"/>
      <c r="J104" s="24">
        <v>1136.0</v>
      </c>
      <c r="K104" s="21">
        <v>2.0</v>
      </c>
    </row>
    <row r="105">
      <c r="E105" s="18"/>
      <c r="F105" s="18"/>
      <c r="G105" s="18"/>
      <c r="H105" s="18"/>
      <c r="I105" s="18"/>
      <c r="J105" s="24">
        <v>1137.0</v>
      </c>
      <c r="K105" s="21">
        <v>2.0</v>
      </c>
    </row>
    <row r="106">
      <c r="E106" s="18"/>
      <c r="F106" s="18"/>
      <c r="G106" s="18"/>
      <c r="H106" s="18"/>
      <c r="I106" s="18"/>
      <c r="J106" s="24">
        <v>1140.0</v>
      </c>
      <c r="K106" s="21">
        <v>2.0</v>
      </c>
    </row>
    <row r="107">
      <c r="E107" s="18"/>
      <c r="F107" s="18"/>
      <c r="G107" s="18"/>
      <c r="H107" s="18"/>
      <c r="I107" s="18"/>
      <c r="J107" s="24">
        <v>1142.0</v>
      </c>
      <c r="K107" s="21">
        <v>2.0</v>
      </c>
    </row>
    <row r="108">
      <c r="E108" s="18"/>
      <c r="F108" s="18"/>
      <c r="G108" s="18"/>
      <c r="H108" s="18"/>
      <c r="I108" s="18"/>
      <c r="J108" s="24">
        <v>1002.0</v>
      </c>
      <c r="K108" s="21">
        <v>1.0</v>
      </c>
    </row>
    <row r="109">
      <c r="E109" s="18"/>
      <c r="F109" s="18"/>
      <c r="G109" s="18"/>
      <c r="H109" s="18"/>
      <c r="I109" s="18"/>
      <c r="J109" s="24">
        <v>1004.0</v>
      </c>
      <c r="K109" s="21">
        <v>1.0</v>
      </c>
    </row>
    <row r="110">
      <c r="E110" s="18"/>
      <c r="F110" s="18"/>
      <c r="G110" s="18"/>
      <c r="H110" s="18"/>
      <c r="I110" s="18"/>
      <c r="J110" s="24">
        <v>1008.0</v>
      </c>
      <c r="K110" s="21">
        <v>1.0</v>
      </c>
    </row>
    <row r="111">
      <c r="E111" s="18"/>
      <c r="F111" s="18"/>
      <c r="G111" s="18"/>
      <c r="H111" s="18"/>
      <c r="I111" s="18"/>
      <c r="J111" s="24">
        <v>1010.0</v>
      </c>
      <c r="K111" s="21">
        <v>1.0</v>
      </c>
    </row>
    <row r="112">
      <c r="E112" s="18"/>
      <c r="F112" s="18"/>
      <c r="G112" s="18"/>
      <c r="H112" s="18"/>
      <c r="I112" s="18"/>
      <c r="J112" s="24">
        <v>1011.0</v>
      </c>
      <c r="K112" s="21">
        <v>1.0</v>
      </c>
    </row>
    <row r="113">
      <c r="E113" s="18"/>
      <c r="F113" s="18"/>
      <c r="G113" s="18"/>
      <c r="H113" s="18"/>
      <c r="I113" s="18"/>
      <c r="J113" s="24">
        <v>1012.0</v>
      </c>
      <c r="K113" s="21">
        <v>1.0</v>
      </c>
    </row>
    <row r="114">
      <c r="E114" s="18"/>
      <c r="F114" s="18"/>
      <c r="G114" s="18"/>
      <c r="H114" s="18"/>
      <c r="I114" s="18"/>
      <c r="J114" s="24">
        <v>1013.0</v>
      </c>
      <c r="K114" s="21">
        <v>1.0</v>
      </c>
    </row>
    <row r="115">
      <c r="E115" s="18"/>
      <c r="F115" s="18"/>
      <c r="G115" s="18"/>
      <c r="H115" s="18"/>
      <c r="I115" s="18"/>
      <c r="J115" s="24">
        <v>1017.0</v>
      </c>
      <c r="K115" s="21">
        <v>1.0</v>
      </c>
    </row>
    <row r="116">
      <c r="E116" s="18"/>
      <c r="F116" s="18"/>
      <c r="G116" s="18"/>
      <c r="H116" s="18"/>
      <c r="I116" s="18"/>
      <c r="J116" s="24">
        <v>1018.0</v>
      </c>
      <c r="K116" s="21">
        <v>1.0</v>
      </c>
    </row>
    <row r="117">
      <c r="E117" s="18"/>
      <c r="F117" s="18"/>
      <c r="G117" s="18"/>
      <c r="H117" s="18"/>
      <c r="I117" s="18"/>
      <c r="J117" s="24">
        <v>1019.0</v>
      </c>
      <c r="K117" s="21">
        <v>1.0</v>
      </c>
    </row>
    <row r="118">
      <c r="E118" s="18"/>
      <c r="F118" s="18"/>
      <c r="G118" s="18"/>
      <c r="H118" s="18"/>
      <c r="I118" s="18"/>
      <c r="J118" s="24">
        <v>1021.0</v>
      </c>
      <c r="K118" s="21">
        <v>1.0</v>
      </c>
    </row>
    <row r="119">
      <c r="E119" s="18"/>
      <c r="F119" s="18"/>
      <c r="G119" s="18"/>
      <c r="H119" s="18"/>
      <c r="I119" s="18"/>
      <c r="J119" s="24">
        <v>1025.0</v>
      </c>
      <c r="K119" s="21">
        <v>1.0</v>
      </c>
    </row>
    <row r="120">
      <c r="E120" s="18"/>
      <c r="F120" s="18"/>
      <c r="G120" s="18"/>
      <c r="H120" s="18"/>
      <c r="I120" s="18"/>
      <c r="J120" s="24">
        <v>1029.0</v>
      </c>
      <c r="K120" s="21">
        <v>1.0</v>
      </c>
    </row>
    <row r="121">
      <c r="E121" s="18"/>
      <c r="F121" s="18"/>
      <c r="G121" s="18"/>
      <c r="H121" s="18"/>
      <c r="I121" s="18"/>
      <c r="J121" s="24">
        <v>1031.0</v>
      </c>
      <c r="K121" s="21">
        <v>1.0</v>
      </c>
    </row>
    <row r="122">
      <c r="E122" s="18"/>
      <c r="F122" s="18"/>
      <c r="G122" s="18"/>
      <c r="H122" s="18"/>
      <c r="I122" s="18"/>
      <c r="J122" s="24">
        <v>1035.0</v>
      </c>
      <c r="K122" s="21">
        <v>1.0</v>
      </c>
    </row>
    <row r="123">
      <c r="E123" s="18"/>
      <c r="F123" s="18"/>
      <c r="G123" s="18"/>
      <c r="H123" s="18"/>
      <c r="I123" s="18"/>
      <c r="J123" s="24">
        <v>1038.0</v>
      </c>
      <c r="K123" s="21">
        <v>1.0</v>
      </c>
    </row>
    <row r="124">
      <c r="E124" s="18"/>
      <c r="F124" s="18"/>
      <c r="G124" s="18"/>
      <c r="H124" s="18"/>
      <c r="I124" s="18"/>
      <c r="J124" s="24">
        <v>1040.0</v>
      </c>
      <c r="K124" s="21">
        <v>1.0</v>
      </c>
    </row>
    <row r="125">
      <c r="E125" s="18"/>
      <c r="F125" s="18"/>
      <c r="G125" s="18"/>
      <c r="H125" s="18"/>
      <c r="I125" s="18"/>
      <c r="J125" s="24">
        <v>1042.0</v>
      </c>
      <c r="K125" s="21">
        <v>1.0</v>
      </c>
    </row>
    <row r="126">
      <c r="E126" s="18"/>
      <c r="F126" s="18"/>
      <c r="G126" s="18"/>
      <c r="H126" s="18"/>
      <c r="I126" s="18"/>
      <c r="J126" s="24">
        <v>1043.0</v>
      </c>
      <c r="K126" s="21">
        <v>1.0</v>
      </c>
    </row>
    <row r="127">
      <c r="E127" s="18"/>
      <c r="F127" s="18"/>
      <c r="G127" s="18"/>
      <c r="H127" s="18"/>
      <c r="I127" s="18"/>
      <c r="J127" s="24">
        <v>1046.0</v>
      </c>
      <c r="K127" s="21">
        <v>1.0</v>
      </c>
    </row>
    <row r="128">
      <c r="E128" s="18"/>
      <c r="F128" s="18"/>
      <c r="G128" s="18"/>
      <c r="H128" s="18"/>
      <c r="I128" s="18"/>
      <c r="J128" s="24">
        <v>1047.0</v>
      </c>
      <c r="K128" s="21">
        <v>1.0</v>
      </c>
    </row>
    <row r="129">
      <c r="E129" s="18"/>
      <c r="F129" s="18"/>
      <c r="G129" s="18"/>
      <c r="I129" s="18"/>
      <c r="J129" s="24">
        <v>1048.0</v>
      </c>
      <c r="K129" s="21">
        <v>1.0</v>
      </c>
    </row>
    <row r="130">
      <c r="E130" s="18"/>
      <c r="F130" s="18"/>
      <c r="G130" s="18"/>
      <c r="I130" s="18"/>
      <c r="J130" s="24">
        <v>1049.0</v>
      </c>
      <c r="K130" s="21">
        <v>1.0</v>
      </c>
    </row>
    <row r="131">
      <c r="E131" s="18"/>
      <c r="F131" s="18"/>
      <c r="G131" s="18"/>
      <c r="I131" s="18"/>
      <c r="J131" s="24">
        <v>1050.0</v>
      </c>
      <c r="K131" s="21">
        <v>1.0</v>
      </c>
    </row>
    <row r="132">
      <c r="E132" s="18"/>
      <c r="F132" s="18"/>
      <c r="G132" s="18"/>
      <c r="I132" s="18"/>
      <c r="J132" s="24">
        <v>1051.0</v>
      </c>
      <c r="K132" s="21">
        <v>1.0</v>
      </c>
    </row>
    <row r="133">
      <c r="E133" s="18"/>
      <c r="F133" s="18"/>
      <c r="G133" s="18"/>
      <c r="I133" s="18"/>
      <c r="J133" s="24">
        <v>1052.0</v>
      </c>
      <c r="K133" s="21">
        <v>1.0</v>
      </c>
    </row>
    <row r="134">
      <c r="E134" s="18"/>
      <c r="F134" s="18"/>
      <c r="G134" s="18"/>
      <c r="I134" s="18"/>
      <c r="J134" s="24">
        <v>1053.0</v>
      </c>
      <c r="K134" s="21">
        <v>1.0</v>
      </c>
    </row>
    <row r="135">
      <c r="E135" s="18"/>
      <c r="F135" s="18"/>
      <c r="G135" s="18"/>
      <c r="I135" s="18"/>
      <c r="J135" s="24">
        <v>1055.0</v>
      </c>
      <c r="K135" s="21">
        <v>1.0</v>
      </c>
    </row>
    <row r="136">
      <c r="E136" s="18"/>
      <c r="F136" s="18"/>
      <c r="G136" s="18"/>
      <c r="I136" s="18"/>
      <c r="J136" s="24">
        <v>1056.0</v>
      </c>
      <c r="K136" s="21">
        <v>1.0</v>
      </c>
    </row>
    <row r="137">
      <c r="E137" s="18"/>
      <c r="F137" s="18"/>
      <c r="G137" s="18"/>
      <c r="I137" s="18"/>
      <c r="J137" s="24">
        <v>1060.0</v>
      </c>
      <c r="K137" s="21">
        <v>1.0</v>
      </c>
    </row>
    <row r="138">
      <c r="E138" s="18"/>
      <c r="F138" s="18"/>
      <c r="G138" s="18"/>
      <c r="I138" s="18"/>
      <c r="J138" s="24">
        <v>1062.0</v>
      </c>
      <c r="K138" s="21">
        <v>1.0</v>
      </c>
    </row>
    <row r="139">
      <c r="E139" s="18"/>
      <c r="F139" s="18"/>
      <c r="G139" s="18"/>
      <c r="I139" s="18"/>
      <c r="J139" s="24">
        <v>1067.0</v>
      </c>
      <c r="K139" s="21">
        <v>1.0</v>
      </c>
    </row>
    <row r="140">
      <c r="E140" s="18"/>
      <c r="F140" s="18"/>
      <c r="G140" s="18"/>
      <c r="I140" s="18"/>
      <c r="J140" s="24">
        <v>1068.0</v>
      </c>
      <c r="K140" s="21">
        <v>1.0</v>
      </c>
    </row>
    <row r="141">
      <c r="E141" s="18"/>
      <c r="F141" s="18"/>
      <c r="G141" s="18"/>
      <c r="I141" s="18"/>
      <c r="J141" s="24">
        <v>1069.0</v>
      </c>
      <c r="K141" s="21">
        <v>1.0</v>
      </c>
    </row>
    <row r="142">
      <c r="E142" s="18"/>
      <c r="F142" s="18"/>
      <c r="G142" s="18"/>
      <c r="I142" s="18"/>
      <c r="J142" s="24">
        <v>1072.0</v>
      </c>
      <c r="K142" s="21">
        <v>1.0</v>
      </c>
    </row>
    <row r="143">
      <c r="E143" s="18"/>
      <c r="F143" s="18"/>
      <c r="G143" s="18"/>
      <c r="I143" s="18"/>
      <c r="J143" s="24">
        <v>1073.0</v>
      </c>
      <c r="K143" s="21">
        <v>1.0</v>
      </c>
    </row>
    <row r="144">
      <c r="E144" s="18"/>
      <c r="F144" s="18"/>
      <c r="G144" s="18"/>
      <c r="I144" s="18"/>
      <c r="J144" s="24">
        <v>1075.0</v>
      </c>
      <c r="K144" s="21">
        <v>1.0</v>
      </c>
    </row>
    <row r="145">
      <c r="E145" s="18"/>
      <c r="F145" s="18"/>
      <c r="G145" s="18"/>
      <c r="I145" s="18"/>
      <c r="J145" s="24">
        <v>1079.0</v>
      </c>
      <c r="K145" s="21">
        <v>1.0</v>
      </c>
    </row>
    <row r="146">
      <c r="E146" s="18"/>
      <c r="F146" s="18"/>
      <c r="G146" s="18"/>
      <c r="I146" s="18" t="s">
        <v>455</v>
      </c>
      <c r="J146" s="24">
        <v>1083.0</v>
      </c>
      <c r="K146" s="21">
        <v>1.0</v>
      </c>
    </row>
    <row r="147">
      <c r="E147" s="18"/>
      <c r="F147" s="18"/>
      <c r="G147" s="18"/>
      <c r="I147" s="3" t="s">
        <v>456</v>
      </c>
      <c r="J147" s="24">
        <v>1084.0</v>
      </c>
      <c r="K147" s="21">
        <v>1.0</v>
      </c>
    </row>
    <row r="148">
      <c r="E148" s="18"/>
      <c r="F148" s="18"/>
      <c r="G148" s="18"/>
      <c r="J148" s="24">
        <v>1086.0</v>
      </c>
      <c r="K148" s="21">
        <v>1.0</v>
      </c>
    </row>
    <row r="149">
      <c r="E149" s="18"/>
      <c r="F149" s="18"/>
      <c r="G149" s="18"/>
      <c r="J149" s="24">
        <v>1095.0</v>
      </c>
      <c r="K149" s="21">
        <v>1.0</v>
      </c>
    </row>
    <row r="150">
      <c r="E150" s="18"/>
      <c r="F150" s="18"/>
      <c r="G150" s="18"/>
      <c r="J150" s="24">
        <v>1097.0</v>
      </c>
      <c r="K150" s="21">
        <v>1.0</v>
      </c>
    </row>
    <row r="151">
      <c r="E151" s="18"/>
      <c r="F151" s="18"/>
      <c r="G151" s="18"/>
      <c r="J151" s="24">
        <v>1100.0</v>
      </c>
      <c r="K151" s="21">
        <v>1.0</v>
      </c>
    </row>
    <row r="152">
      <c r="E152" s="18"/>
      <c r="F152" s="18"/>
      <c r="G152" s="18"/>
      <c r="J152" s="24">
        <v>1102.0</v>
      </c>
      <c r="K152" s="21">
        <v>1.0</v>
      </c>
    </row>
    <row r="153">
      <c r="E153" s="18"/>
      <c r="F153" s="18"/>
      <c r="G153" s="18"/>
      <c r="J153" s="24">
        <v>1107.0</v>
      </c>
      <c r="K153" s="21">
        <v>1.0</v>
      </c>
    </row>
    <row r="154">
      <c r="E154" s="18"/>
      <c r="F154" s="18"/>
      <c r="G154" s="18"/>
      <c r="J154" s="24">
        <v>1110.0</v>
      </c>
      <c r="K154" s="21">
        <v>1.0</v>
      </c>
    </row>
    <row r="155">
      <c r="E155" s="18"/>
      <c r="F155" s="18"/>
      <c r="G155" s="18"/>
      <c r="J155" s="24">
        <v>1113.0</v>
      </c>
      <c r="K155" s="21">
        <v>1.0</v>
      </c>
    </row>
    <row r="156">
      <c r="E156" s="18"/>
      <c r="F156" s="18"/>
      <c r="G156" s="18"/>
      <c r="J156" s="24">
        <v>1116.0</v>
      </c>
      <c r="K156" s="21">
        <v>1.0</v>
      </c>
    </row>
    <row r="157">
      <c r="E157" s="18"/>
      <c r="F157" s="18"/>
      <c r="G157" s="18"/>
      <c r="J157" s="24">
        <v>1119.0</v>
      </c>
      <c r="K157" s="21">
        <v>1.0</v>
      </c>
    </row>
    <row r="158">
      <c r="J158" s="24">
        <v>1120.0</v>
      </c>
      <c r="K158" s="21">
        <v>1.0</v>
      </c>
    </row>
    <row r="159">
      <c r="J159" s="24">
        <v>1121.0</v>
      </c>
      <c r="K159" s="21">
        <v>1.0</v>
      </c>
    </row>
    <row r="160">
      <c r="J160" s="24">
        <v>1124.0</v>
      </c>
      <c r="K160" s="21">
        <v>1.0</v>
      </c>
    </row>
    <row r="161">
      <c r="J161" s="24">
        <v>1131.0</v>
      </c>
      <c r="K161" s="21">
        <v>1.0</v>
      </c>
    </row>
    <row r="162">
      <c r="J162" s="24">
        <v>1132.0</v>
      </c>
      <c r="K162" s="21">
        <v>1.0</v>
      </c>
    </row>
    <row r="163">
      <c r="J163" s="24">
        <v>1135.0</v>
      </c>
      <c r="K163" s="21">
        <v>1.0</v>
      </c>
    </row>
    <row r="164">
      <c r="J164" s="24">
        <v>1138.0</v>
      </c>
      <c r="K164" s="21">
        <v>1.0</v>
      </c>
    </row>
    <row r="165">
      <c r="J165" s="24">
        <v>1141.0</v>
      </c>
      <c r="K165" s="21">
        <v>1.0</v>
      </c>
    </row>
    <row r="166">
      <c r="J166" s="25">
        <v>1144.0</v>
      </c>
      <c r="K166" s="21">
        <v>1.0</v>
      </c>
    </row>
  </sheetData>
  <mergeCells count="2">
    <mergeCell ref="J2:K2"/>
    <mergeCell ref="N2:O2"/>
  </mergeCells>
  <conditionalFormatting sqref="J2:K19 Q5:Q2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25"/>
    </row>
    <row r="4">
      <c r="C4" s="29" t="s">
        <v>264</v>
      </c>
      <c r="D4" s="29" t="s">
        <v>216</v>
      </c>
      <c r="E4" s="29" t="s">
        <v>92</v>
      </c>
      <c r="F4" s="29" t="s">
        <v>217</v>
      </c>
      <c r="G4" s="29" t="s">
        <v>25</v>
      </c>
      <c r="H4" s="29" t="s">
        <v>218</v>
      </c>
      <c r="I4" s="29" t="s">
        <v>219</v>
      </c>
      <c r="J4" s="29" t="s">
        <v>53</v>
      </c>
      <c r="K4" s="29" t="s">
        <v>221</v>
      </c>
      <c r="L4" s="29" t="s">
        <v>222</v>
      </c>
      <c r="M4" s="29" t="s">
        <v>223</v>
      </c>
      <c r="N4" s="29" t="s">
        <v>224</v>
      </c>
      <c r="O4" s="29" t="s">
        <v>8</v>
      </c>
      <c r="P4" s="29" t="s">
        <v>225</v>
      </c>
      <c r="Q4" s="29" t="s">
        <v>226</v>
      </c>
      <c r="R4" s="29" t="s">
        <v>227</v>
      </c>
    </row>
    <row r="5">
      <c r="B5" s="18" t="s">
        <v>22</v>
      </c>
      <c r="C5" s="29">
        <f>SUMIFS('SALES REPORT'!$G$2:$G1000,'SALES REPORT'!$E$2:$E1000,C$4,'SALES REPORT'!$F$2:$F1000,$B5)</f>
        <v>1</v>
      </c>
      <c r="D5" s="29">
        <f>SUMIFS('SALES REPORT'!$G$2:$G1000,'SALES REPORT'!$E$2:$E1000,D$4,'SALES REPORT'!$F$2:$F1000,$B5)</f>
        <v>11</v>
      </c>
      <c r="E5" s="29">
        <f>SUMIFS('SALES REPORT'!$G$2:$G1000,'SALES REPORT'!$E$2:$E1000,E$4,'SALES REPORT'!$F$2:$F1000,$B5)</f>
        <v>3</v>
      </c>
      <c r="F5" s="29">
        <f>SUMIFS('SALES REPORT'!$G$2:$G1000,'SALES REPORT'!$E$2:$E1000,F$4,'SALES REPORT'!$F$2:$F1000,$B5)</f>
        <v>3</v>
      </c>
      <c r="G5" s="29">
        <f>SUMIFS('SALES REPORT'!$G$2:$G1000,'SALES REPORT'!$E$2:$E1000,G$4,'SALES REPORT'!$F$2:$F1000,$B5)</f>
        <v>10</v>
      </c>
      <c r="H5" s="29">
        <f>SUMIFS('SALES REPORT'!$G$2:$G1000,'SALES REPORT'!$E$2:$E1000,H$4,'SALES REPORT'!$F$2:$F1000,$B5)</f>
        <v>2</v>
      </c>
      <c r="I5" s="29">
        <f>SUMIFS('SALES REPORT'!$G$2:$G1000,'SALES REPORT'!$E$2:$E1000,I$4,'SALES REPORT'!$F$2:$F1000,$B5)</f>
        <v>2</v>
      </c>
      <c r="J5" s="29">
        <f>SUMIFS('SALES REPORT'!$G$2:$G1000,'SALES REPORT'!$E$2:$E1000,J$4,'SALES REPORT'!$F$2:$F1000,$B5)</f>
        <v>0</v>
      </c>
      <c r="K5" s="29">
        <f>SUMIFS('SALES REPORT'!$G$2:$G1000,'SALES REPORT'!$E$2:$E1000,K$4,'SALES REPORT'!$F$2:$F1000,$B5)</f>
        <v>2</v>
      </c>
      <c r="L5" s="29">
        <f>SUMIFS('SALES REPORT'!$G$2:$G1000,'SALES REPORT'!$E$2:$E1000,L$4,'SALES REPORT'!$F$2:$F1000,$B5)</f>
        <v>2</v>
      </c>
      <c r="M5" s="29">
        <f>SUMIFS('SALES REPORT'!$G$2:$G1000,'SALES REPORT'!$E$2:$E1000,M$4,'SALES REPORT'!$F$2:$F1000,$B5)</f>
        <v>0</v>
      </c>
      <c r="N5" s="29">
        <f>SUMIFS('SALES REPORT'!$G$2:$G1000,'SALES REPORT'!$E$2:$E1000,N$4,'SALES REPORT'!$F$2:$F1000,$B5)</f>
        <v>1</v>
      </c>
      <c r="O5" s="29">
        <f>SUMIFS('SALES REPORT'!$G$2:$G1000,'SALES REPORT'!$E$2:$E1000,O$4,'SALES REPORT'!$F$2:$F1000,$B5)</f>
        <v>9</v>
      </c>
      <c r="P5" s="29">
        <f>SUMIFS('SALES REPORT'!$G$2:$G1000,'SALES REPORT'!$E$2:$E1000,P$4,'SALES REPORT'!$F$2:$F1000,$B5)</f>
        <v>4</v>
      </c>
      <c r="Q5" s="29">
        <f>SUMIFS('SALES REPORT'!$G$2:$G1000,'SALES REPORT'!$E$2:$E1000,Q$4,'SALES REPORT'!$F$2:$F1000,$B5)</f>
        <v>1</v>
      </c>
      <c r="R5" s="29">
        <f>SUMIFS('SALES REPORT'!$G$2:$G1000,'SALES REPORT'!$E$2:$E1000,R$4,'SALES REPORT'!$F$2:$F1000,$B5)</f>
        <v>2</v>
      </c>
    </row>
    <row r="6">
      <c r="B6" s="29" t="s">
        <v>158</v>
      </c>
      <c r="C6" s="29">
        <f>SUMIFS('SALES REPORT'!$G$2:$G1000,'SALES REPORT'!$E$2:$E1000,C$4,'SALES REPORT'!$F$2:$F1000,$B6)</f>
        <v>1</v>
      </c>
      <c r="D6" s="29">
        <f>SUMIFS('SALES REPORT'!$G$2:$G1000,'SALES REPORT'!$E$2:$E1000,D$4,'SALES REPORT'!$F$2:$F1000,$B6)</f>
        <v>0</v>
      </c>
      <c r="E6" s="29">
        <f>SUMIFS('SALES REPORT'!$G$2:$G1000,'SALES REPORT'!$E$2:$E1000,E$4,'SALES REPORT'!$F$2:$F1000,$B6)</f>
        <v>0</v>
      </c>
      <c r="F6" s="29">
        <f>SUMIFS('SALES REPORT'!$G$2:$G1000,'SALES REPORT'!$E$2:$E1000,F$4,'SALES REPORT'!$F$2:$F1000,$B6)</f>
        <v>0</v>
      </c>
      <c r="G6" s="29">
        <f>SUMIFS('SALES REPORT'!$G$2:$G1000,'SALES REPORT'!$E$2:$E1000,G$4,'SALES REPORT'!$F$2:$F1000,$B6)</f>
        <v>2</v>
      </c>
      <c r="H6" s="29">
        <f>SUMIFS('SALES REPORT'!$G$2:$G1000,'SALES REPORT'!$E$2:$E1000,H$4,'SALES REPORT'!$F$2:$F1000,$B6)</f>
        <v>0</v>
      </c>
      <c r="I6" s="29">
        <f>SUMIFS('SALES REPORT'!$G$2:$G1000,'SALES REPORT'!$E$2:$E1000,I$4,'SALES REPORT'!$F$2:$F1000,$B6)</f>
        <v>0</v>
      </c>
      <c r="J6" s="29">
        <f>SUMIFS('SALES REPORT'!$G$2:$G1000,'SALES REPORT'!$E$2:$E1000,J$4,'SALES REPORT'!$F$2:$F1000,$B6)</f>
        <v>0</v>
      </c>
      <c r="K6" s="29">
        <f>SUMIFS('SALES REPORT'!$G$2:$G1000,'SALES REPORT'!$E$2:$E1000,K$4,'SALES REPORT'!$F$2:$F1000,$B6)</f>
        <v>0</v>
      </c>
      <c r="L6" s="29">
        <f>SUMIFS('SALES REPORT'!$G$2:$G1000,'SALES REPORT'!$E$2:$E1000,L$4,'SALES REPORT'!$F$2:$F1000,$B6)</f>
        <v>0</v>
      </c>
      <c r="M6" s="29">
        <f>SUMIFS('SALES REPORT'!$G$2:$G1000,'SALES REPORT'!$E$2:$E1000,M$4,'SALES REPORT'!$F$2:$F1000,$B6)</f>
        <v>0</v>
      </c>
      <c r="N6" s="29">
        <f>SUMIFS('SALES REPORT'!$G$2:$G1000,'SALES REPORT'!$E$2:$E1000,N$4,'SALES REPORT'!$F$2:$F1000,$B6)</f>
        <v>0</v>
      </c>
      <c r="O6" s="29">
        <f>SUMIFS('SALES REPORT'!$G$2:$G1000,'SALES REPORT'!$E$2:$E1000,O$4,'SALES REPORT'!$F$2:$F1000,$B6)</f>
        <v>0</v>
      </c>
      <c r="P6" s="29">
        <f>SUMIFS('SALES REPORT'!$G$2:$G1000,'SALES REPORT'!$E$2:$E1000,P$4,'SALES REPORT'!$F$2:$F1000,$B6)</f>
        <v>0</v>
      </c>
      <c r="Q6" s="29">
        <f>SUMIFS('SALES REPORT'!$G$2:$G1000,'SALES REPORT'!$E$2:$E1000,Q$4,'SALES REPORT'!$F$2:$F1000,$B6)</f>
        <v>0</v>
      </c>
      <c r="R6" s="29">
        <f>SUMIFS('SALES REPORT'!$G$2:$G1000,'SALES REPORT'!$E$2:$E1000,R$4,'SALES REPORT'!$F$2:$F1000,$B6)</f>
        <v>1</v>
      </c>
    </row>
    <row r="7">
      <c r="B7" s="18" t="s">
        <v>58</v>
      </c>
      <c r="C7" s="29">
        <f>SUMIFS('SALES REPORT'!$G$2:$G1000,'SALES REPORT'!$E$2:$E1000,C$4,'SALES REPORT'!$F$2:$F1000,$B7)</f>
        <v>1</v>
      </c>
      <c r="D7" s="29">
        <f>SUMIFS('SALES REPORT'!$G$2:$G1000,'SALES REPORT'!$E$2:$E1000,D$4,'SALES REPORT'!$F$2:$F1000,$B7)</f>
        <v>6</v>
      </c>
      <c r="E7" s="29">
        <f>SUMIFS('SALES REPORT'!$G$2:$G1000,'SALES REPORT'!$E$2:$E1000,E$4,'SALES REPORT'!$F$2:$F1000,$B7)</f>
        <v>4</v>
      </c>
      <c r="F7" s="29">
        <f>SUMIFS('SALES REPORT'!$G$2:$G1000,'SALES REPORT'!$E$2:$E1000,F$4,'SALES REPORT'!$F$2:$F1000,$B7)</f>
        <v>0</v>
      </c>
      <c r="G7" s="29">
        <f>SUMIFS('SALES REPORT'!$G$2:$G1000,'SALES REPORT'!$E$2:$E1000,G$4,'SALES REPORT'!$F$2:$F1000,$B7)</f>
        <v>5</v>
      </c>
      <c r="H7" s="29">
        <f>SUMIFS('SALES REPORT'!$G$2:$G1000,'SALES REPORT'!$E$2:$E1000,H$4,'SALES REPORT'!$F$2:$F1000,$B7)</f>
        <v>1</v>
      </c>
      <c r="I7" s="29">
        <f>SUMIFS('SALES REPORT'!$G$2:$G1000,'SALES REPORT'!$E$2:$E1000,I$4,'SALES REPORT'!$F$2:$F1000,$B7)</f>
        <v>4</v>
      </c>
      <c r="J7" s="29">
        <f>SUMIFS('SALES REPORT'!$G$2:$G1000,'SALES REPORT'!$E$2:$E1000,J$4,'SALES REPORT'!$F$2:$F1000,$B7)</f>
        <v>0</v>
      </c>
      <c r="K7" s="29">
        <f>SUMIFS('SALES REPORT'!$G$2:$G1000,'SALES REPORT'!$E$2:$E1000,K$4,'SALES REPORT'!$F$2:$F1000,$B7)</f>
        <v>1</v>
      </c>
      <c r="L7" s="29">
        <f>SUMIFS('SALES REPORT'!$G$2:$G1000,'SALES REPORT'!$E$2:$E1000,L$4,'SALES REPORT'!$F$2:$F1000,$B7)</f>
        <v>0</v>
      </c>
      <c r="M7" s="29">
        <f>SUMIFS('SALES REPORT'!$G$2:$G1000,'SALES REPORT'!$E$2:$E1000,M$4,'SALES REPORT'!$F$2:$F1000,$B7)</f>
        <v>0</v>
      </c>
      <c r="N7" s="29">
        <f>SUMIFS('SALES REPORT'!$G$2:$G1000,'SALES REPORT'!$E$2:$E1000,N$4,'SALES REPORT'!$F$2:$F1000,$B7)</f>
        <v>3</v>
      </c>
      <c r="O7" s="29">
        <f>SUMIFS('SALES REPORT'!$G$2:$G1000,'SALES REPORT'!$E$2:$E1000,O$4,'SALES REPORT'!$F$2:$F1000,$B7)</f>
        <v>2</v>
      </c>
      <c r="P7" s="29">
        <f>SUMIFS('SALES REPORT'!$G$2:$G1000,'SALES REPORT'!$E$2:$E1000,P$4,'SALES REPORT'!$F$2:$F1000,$B7)</f>
        <v>0</v>
      </c>
      <c r="Q7" s="29">
        <f>SUMIFS('SALES REPORT'!$G$2:$G1000,'SALES REPORT'!$E$2:$E1000,Q$4,'SALES REPORT'!$F$2:$F1000,$B7)</f>
        <v>0</v>
      </c>
      <c r="R7" s="29">
        <f>SUMIFS('SALES REPORT'!$G$2:$G1000,'SALES REPORT'!$E$2:$E1000,R$4,'SALES REPORT'!$F$2:$F1000,$B7)</f>
        <v>1</v>
      </c>
    </row>
    <row r="8">
      <c r="B8" s="29" t="s">
        <v>231</v>
      </c>
      <c r="C8" s="29">
        <f>SUMIFS('SALES REPORT'!$G$2:$G1000,'SALES REPORT'!$E$2:$E1000,C$4,'SALES REPORT'!$F$2:$F1000,$B8)</f>
        <v>1</v>
      </c>
      <c r="D8" s="29">
        <f>SUMIFS('SALES REPORT'!$G$2:$G1000,'SALES REPORT'!$E$2:$E1000,D$4,'SALES REPORT'!$F$2:$F1000,$B8)</f>
        <v>1</v>
      </c>
      <c r="E8" s="29">
        <f>SUMIFS('SALES REPORT'!$G$2:$G1000,'SALES REPORT'!$E$2:$E1000,E$4,'SALES REPORT'!$F$2:$F1000,$B8)</f>
        <v>0</v>
      </c>
      <c r="F8" s="29">
        <f>SUMIFS('SALES REPORT'!$G$2:$G1000,'SALES REPORT'!$E$2:$E1000,F$4,'SALES REPORT'!$F$2:$F1000,$B8)</f>
        <v>0</v>
      </c>
      <c r="G8" s="29">
        <f>SUMIFS('SALES REPORT'!$G$2:$G1000,'SALES REPORT'!$E$2:$E1000,G$4,'SALES REPORT'!$F$2:$F1000,$B8)</f>
        <v>2</v>
      </c>
      <c r="H8" s="29">
        <f>SUMIFS('SALES REPORT'!$G$2:$G1000,'SALES REPORT'!$E$2:$E1000,H$4,'SALES REPORT'!$F$2:$F1000,$B8)</f>
        <v>3</v>
      </c>
      <c r="I8" s="29">
        <f>SUMIFS('SALES REPORT'!$G$2:$G1000,'SALES REPORT'!$E$2:$E1000,I$4,'SALES REPORT'!$F$2:$F1000,$B8)</f>
        <v>3</v>
      </c>
      <c r="J8" s="29">
        <f>SUMIFS('SALES REPORT'!$G$2:$G1000,'SALES REPORT'!$E$2:$E1000,J$4,'SALES REPORT'!$F$2:$F1000,$B8)</f>
        <v>4</v>
      </c>
      <c r="K8" s="29">
        <f>SUMIFS('SALES REPORT'!$G$2:$G1000,'SALES REPORT'!$E$2:$E1000,K$4,'SALES REPORT'!$F$2:$F1000,$B8)</f>
        <v>0</v>
      </c>
      <c r="L8" s="29">
        <f>SUMIFS('SALES REPORT'!$G$2:$G1000,'SALES REPORT'!$E$2:$E1000,L$4,'SALES REPORT'!$F$2:$F1000,$B8)</f>
        <v>0</v>
      </c>
      <c r="M8" s="29">
        <f>SUMIFS('SALES REPORT'!$G$2:$G1000,'SALES REPORT'!$E$2:$E1000,M$4,'SALES REPORT'!$F$2:$F1000,$B8)</f>
        <v>0</v>
      </c>
      <c r="N8" s="29">
        <f>SUMIFS('SALES REPORT'!$G$2:$G1000,'SALES REPORT'!$E$2:$E1000,N$4,'SALES REPORT'!$F$2:$F1000,$B8)</f>
        <v>0</v>
      </c>
      <c r="O8" s="29">
        <f>SUMIFS('SALES REPORT'!$G$2:$G1000,'SALES REPORT'!$E$2:$E1000,O$4,'SALES REPORT'!$F$2:$F1000,$B8)</f>
        <v>1</v>
      </c>
      <c r="P8" s="29">
        <f>SUMIFS('SALES REPORT'!$G$2:$G1000,'SALES REPORT'!$E$2:$E1000,P$4,'SALES REPORT'!$F$2:$F1000,$B8)</f>
        <v>0</v>
      </c>
      <c r="Q8" s="29">
        <f>SUMIFS('SALES REPORT'!$G$2:$G1000,'SALES REPORT'!$E$2:$E1000,Q$4,'SALES REPORT'!$F$2:$F1000,$B8)</f>
        <v>0</v>
      </c>
      <c r="R8" s="29">
        <f>SUMIFS('SALES REPORT'!$G$2:$G1000,'SALES REPORT'!$E$2:$E1000,R$4,'SALES REPORT'!$F$2:$F1000,$B8)</f>
        <v>1</v>
      </c>
    </row>
    <row r="9">
      <c r="B9" s="18" t="s">
        <v>61</v>
      </c>
      <c r="C9" s="29">
        <f>SUMIFS('SALES REPORT'!$G$2:$G1000,'SALES REPORT'!$E$2:$E1000,C$4,'SALES REPORT'!$F$2:$F1000,$B9)</f>
        <v>0</v>
      </c>
      <c r="D9" s="29">
        <f>SUMIFS('SALES REPORT'!$G$2:$G1000,'SALES REPORT'!$E$2:$E1000,D$4,'SALES REPORT'!$F$2:$F1000,$B9)</f>
        <v>10</v>
      </c>
      <c r="E9" s="29">
        <f>SUMIFS('SALES REPORT'!$G$2:$G1000,'SALES REPORT'!$E$2:$E1000,E$4,'SALES REPORT'!$F$2:$F1000,$B9)</f>
        <v>1</v>
      </c>
      <c r="F9" s="29">
        <f>SUMIFS('SALES REPORT'!$G$2:$G1000,'SALES REPORT'!$E$2:$E1000,F$4,'SALES REPORT'!$F$2:$F1000,$B9)</f>
        <v>0</v>
      </c>
      <c r="G9" s="29">
        <f>SUMIFS('SALES REPORT'!$G$2:$G1000,'SALES REPORT'!$E$2:$E1000,G$4,'SALES REPORT'!$F$2:$F1000,$B9)</f>
        <v>7</v>
      </c>
      <c r="H9" s="29">
        <f>SUMIFS('SALES REPORT'!$G$2:$G1000,'SALES REPORT'!$E$2:$E1000,H$4,'SALES REPORT'!$F$2:$F1000,$B9)</f>
        <v>0</v>
      </c>
      <c r="I9" s="29">
        <f>SUMIFS('SALES REPORT'!$G$2:$G1000,'SALES REPORT'!$E$2:$E1000,I$4,'SALES REPORT'!$F$2:$F1000,$B9)</f>
        <v>0</v>
      </c>
      <c r="J9" s="29">
        <f>SUMIFS('SALES REPORT'!$G$2:$G1000,'SALES REPORT'!$E$2:$E1000,J$4,'SALES REPORT'!$F$2:$F1000,$B9)</f>
        <v>0</v>
      </c>
      <c r="K9" s="29">
        <f>SUMIFS('SALES REPORT'!$G$2:$G1000,'SALES REPORT'!$E$2:$E1000,K$4,'SALES REPORT'!$F$2:$F1000,$B9)</f>
        <v>0</v>
      </c>
      <c r="L9" s="29">
        <f>SUMIFS('SALES REPORT'!$G$2:$G1000,'SALES REPORT'!$E$2:$E1000,L$4,'SALES REPORT'!$F$2:$F1000,$B9)</f>
        <v>0</v>
      </c>
      <c r="M9" s="29">
        <f>SUMIFS('SALES REPORT'!$G$2:$G1000,'SALES REPORT'!$E$2:$E1000,M$4,'SALES REPORT'!$F$2:$F1000,$B9)</f>
        <v>0</v>
      </c>
      <c r="N9" s="29">
        <f>SUMIFS('SALES REPORT'!$G$2:$G1000,'SALES REPORT'!$E$2:$E1000,N$4,'SALES REPORT'!$F$2:$F1000,$B9)</f>
        <v>0</v>
      </c>
      <c r="O9" s="29">
        <f>SUMIFS('SALES REPORT'!$G$2:$G1000,'SALES REPORT'!$E$2:$E1000,O$4,'SALES REPORT'!$F$2:$F1000,$B9)</f>
        <v>3</v>
      </c>
      <c r="P9" s="29">
        <f>SUMIFS('SALES REPORT'!$G$2:$G1000,'SALES REPORT'!$E$2:$E1000,P$4,'SALES REPORT'!$F$2:$F1000,$B9)</f>
        <v>0</v>
      </c>
      <c r="Q9" s="29">
        <f>SUMIFS('SALES REPORT'!$G$2:$G1000,'SALES REPORT'!$E$2:$E1000,Q$4,'SALES REPORT'!$F$2:$F1000,$B9)</f>
        <v>0</v>
      </c>
      <c r="R9" s="29">
        <f>SUMIFS('SALES REPORT'!$G$2:$G1000,'SALES REPORT'!$E$2:$E1000,R$4,'SALES REPORT'!$F$2:$F1000,$B9)</f>
        <v>1</v>
      </c>
    </row>
    <row r="10">
      <c r="B10" s="18" t="s">
        <v>178</v>
      </c>
      <c r="C10" s="29">
        <f>SUMIFS('SALES REPORT'!$G$2:$G1000,'SALES REPORT'!$E$2:$E1000,C$4,'SALES REPORT'!$F$2:$F1000,$B10)</f>
        <v>0</v>
      </c>
      <c r="D10" s="29">
        <f>SUMIFS('SALES REPORT'!$G$2:$G1000,'SALES REPORT'!$E$2:$E1000,D$4,'SALES REPORT'!$F$2:$F1000,$B10)</f>
        <v>2</v>
      </c>
      <c r="E10" s="29">
        <f>SUMIFS('SALES REPORT'!$G$2:$G1000,'SALES REPORT'!$E$2:$E1000,E$4,'SALES REPORT'!$F$2:$F1000,$B10)</f>
        <v>1</v>
      </c>
      <c r="F10" s="29">
        <f>SUMIFS('SALES REPORT'!$G$2:$G1000,'SALES REPORT'!$E$2:$E1000,F$4,'SALES REPORT'!$F$2:$F1000,$B10)</f>
        <v>0</v>
      </c>
      <c r="G10" s="29">
        <f>SUMIFS('SALES REPORT'!$G$2:$G1000,'SALES REPORT'!$E$2:$E1000,G$4,'SALES REPORT'!$F$2:$F1000,$B10)</f>
        <v>3</v>
      </c>
      <c r="H10" s="29">
        <f>SUMIFS('SALES REPORT'!$G$2:$G1000,'SALES REPORT'!$E$2:$E1000,H$4,'SALES REPORT'!$F$2:$F1000,$B10)</f>
        <v>0</v>
      </c>
      <c r="I10" s="29">
        <f>SUMIFS('SALES REPORT'!$G$2:$G1000,'SALES REPORT'!$E$2:$E1000,I$4,'SALES REPORT'!$F$2:$F1000,$B10)</f>
        <v>0</v>
      </c>
      <c r="J10" s="29">
        <f>SUMIFS('SALES REPORT'!$G$2:$G1000,'SALES REPORT'!$E$2:$E1000,J$4,'SALES REPORT'!$F$2:$F1000,$B10)</f>
        <v>0</v>
      </c>
      <c r="K10" s="29">
        <f>SUMIFS('SALES REPORT'!$G$2:$G1000,'SALES REPORT'!$E$2:$E1000,K$4,'SALES REPORT'!$F$2:$F1000,$B10)</f>
        <v>0</v>
      </c>
      <c r="L10" s="29">
        <f>SUMIFS('SALES REPORT'!$G$2:$G1000,'SALES REPORT'!$E$2:$E1000,L$4,'SALES REPORT'!$F$2:$F1000,$B10)</f>
        <v>0</v>
      </c>
      <c r="M10" s="29">
        <f>SUMIFS('SALES REPORT'!$G$2:$G1000,'SALES REPORT'!$E$2:$E1000,M$4,'SALES REPORT'!$F$2:$F1000,$B10)</f>
        <v>0</v>
      </c>
      <c r="N10" s="29">
        <f>SUMIFS('SALES REPORT'!$G$2:$G1000,'SALES REPORT'!$E$2:$E1000,N$4,'SALES REPORT'!$F$2:$F1000,$B10)</f>
        <v>0</v>
      </c>
      <c r="O10" s="29">
        <f>SUMIFS('SALES REPORT'!$G$2:$G1000,'SALES REPORT'!$E$2:$E1000,O$4,'SALES REPORT'!$F$2:$F1000,$B10)</f>
        <v>0</v>
      </c>
      <c r="P10" s="29">
        <f>SUMIFS('SALES REPORT'!$G$2:$G1000,'SALES REPORT'!$E$2:$E1000,P$4,'SALES REPORT'!$F$2:$F1000,$B10)</f>
        <v>0</v>
      </c>
      <c r="Q10" s="29">
        <f>SUMIFS('SALES REPORT'!$G$2:$G1000,'SALES REPORT'!$E$2:$E1000,Q$4,'SALES REPORT'!$F$2:$F1000,$B10)</f>
        <v>0</v>
      </c>
      <c r="R10" s="29">
        <f>SUMIFS('SALES REPORT'!$G$2:$G1000,'SALES REPORT'!$E$2:$E1000,R$4,'SALES REPORT'!$F$2:$F1000,$B10)</f>
        <v>0</v>
      </c>
    </row>
    <row r="11">
      <c r="B11" s="18" t="s">
        <v>185</v>
      </c>
      <c r="C11" s="29">
        <f>SUMIFS('SALES REPORT'!$G$2:$G1000,'SALES REPORT'!$E$2:$E1000,C$4,'SALES REPORT'!$F$2:$F1000,$B11)</f>
        <v>0</v>
      </c>
      <c r="D11" s="29">
        <f>SUMIFS('SALES REPORT'!$G$2:$G1000,'SALES REPORT'!$E$2:$E1000,D$4,'SALES REPORT'!$F$2:$F1000,$B11)</f>
        <v>1</v>
      </c>
      <c r="E11" s="29">
        <f>SUMIFS('SALES REPORT'!$G$2:$G1000,'SALES REPORT'!$E$2:$E1000,E$4,'SALES REPORT'!$F$2:$F1000,$B11)</f>
        <v>0</v>
      </c>
      <c r="F11" s="29">
        <f>SUMIFS('SALES REPORT'!$G$2:$G1000,'SALES REPORT'!$E$2:$E1000,F$4,'SALES REPORT'!$F$2:$F1000,$B11)</f>
        <v>0</v>
      </c>
      <c r="G11" s="29">
        <f>SUMIFS('SALES REPORT'!$G$2:$G1000,'SALES REPORT'!$E$2:$E1000,G$4,'SALES REPORT'!$F$2:$F1000,$B11)</f>
        <v>0</v>
      </c>
      <c r="H11" s="29">
        <f>SUMIFS('SALES REPORT'!$G$2:$G1000,'SALES REPORT'!$E$2:$E1000,H$4,'SALES REPORT'!$F$2:$F1000,$B11)</f>
        <v>0</v>
      </c>
      <c r="I11" s="29">
        <f>SUMIFS('SALES REPORT'!$G$2:$G1000,'SALES REPORT'!$E$2:$E1000,I$4,'SALES REPORT'!$F$2:$F1000,$B11)</f>
        <v>1</v>
      </c>
      <c r="J11" s="29">
        <f>SUMIFS('SALES REPORT'!$G$2:$G1000,'SALES REPORT'!$E$2:$E1000,J$4,'SALES REPORT'!$F$2:$F1000,$B11)</f>
        <v>0</v>
      </c>
      <c r="K11" s="29">
        <f>SUMIFS('SALES REPORT'!$G$2:$G1000,'SALES REPORT'!$E$2:$E1000,K$4,'SALES REPORT'!$F$2:$F1000,$B11)</f>
        <v>0</v>
      </c>
      <c r="L11" s="29">
        <f>SUMIFS('SALES REPORT'!$G$2:$G1000,'SALES REPORT'!$E$2:$E1000,L$4,'SALES REPORT'!$F$2:$F1000,$B11)</f>
        <v>0</v>
      </c>
      <c r="M11" s="29">
        <f>SUMIFS('SALES REPORT'!$G$2:$G1000,'SALES REPORT'!$E$2:$E1000,M$4,'SALES REPORT'!$F$2:$F1000,$B11)</f>
        <v>0</v>
      </c>
      <c r="N11" s="29">
        <f>SUMIFS('SALES REPORT'!$G$2:$G1000,'SALES REPORT'!$E$2:$E1000,N$4,'SALES REPORT'!$F$2:$F1000,$B11)</f>
        <v>0</v>
      </c>
      <c r="O11" s="29">
        <f>SUMIFS('SALES REPORT'!$G$2:$G1000,'SALES REPORT'!$E$2:$E1000,O$4,'SALES REPORT'!$F$2:$F1000,$B11)</f>
        <v>1</v>
      </c>
      <c r="P11" s="29">
        <f>SUMIFS('SALES REPORT'!$G$2:$G1000,'SALES REPORT'!$E$2:$E1000,P$4,'SALES REPORT'!$F$2:$F1000,$B11)</f>
        <v>0</v>
      </c>
      <c r="Q11" s="29">
        <f>SUMIFS('SALES REPORT'!$G$2:$G1000,'SALES REPORT'!$E$2:$E1000,Q$4,'SALES REPORT'!$F$2:$F1000,$B11)</f>
        <v>0</v>
      </c>
      <c r="R11" s="29">
        <f>SUMIFS('SALES REPORT'!$G$2:$G1000,'SALES REPORT'!$E$2:$E1000,R$4,'SALES REPORT'!$F$2:$F1000,$B11)</f>
        <v>0</v>
      </c>
    </row>
    <row r="12">
      <c r="B12" s="29" t="s">
        <v>106</v>
      </c>
      <c r="C12" s="29">
        <f>SUMIFS('SALES REPORT'!$G$2:$G1000,'SALES REPORT'!$E$2:$E1000,C$4,'SALES REPORT'!$F$2:$F1000,$B12)</f>
        <v>0</v>
      </c>
      <c r="D12" s="29">
        <f>SUMIFS('SALES REPORT'!$G$2:$G1000,'SALES REPORT'!$E$2:$E1000,D$4,'SALES REPORT'!$F$2:$F1000,$B12)</f>
        <v>6</v>
      </c>
      <c r="E12" s="29">
        <f>SUMIFS('SALES REPORT'!$G$2:$G1000,'SALES REPORT'!$E$2:$E1000,E$4,'SALES REPORT'!$F$2:$F1000,$B12)</f>
        <v>1</v>
      </c>
      <c r="F12" s="29">
        <f>SUMIFS('SALES REPORT'!$G$2:$G1000,'SALES REPORT'!$E$2:$E1000,F$4,'SALES REPORT'!$F$2:$F1000,$B12)</f>
        <v>0</v>
      </c>
      <c r="G12" s="29">
        <f>SUMIFS('SALES REPORT'!$G$2:$G1000,'SALES REPORT'!$E$2:$E1000,G$4,'SALES REPORT'!$F$2:$F1000,$B12)</f>
        <v>6</v>
      </c>
      <c r="H12" s="29">
        <f>SUMIFS('SALES REPORT'!$G$2:$G1000,'SALES REPORT'!$E$2:$E1000,H$4,'SALES REPORT'!$F$2:$F1000,$B12)</f>
        <v>1</v>
      </c>
      <c r="I12" s="29">
        <f>SUMIFS('SALES REPORT'!$G$2:$G1000,'SALES REPORT'!$E$2:$E1000,I$4,'SALES REPORT'!$F$2:$F1000,$B12)</f>
        <v>4</v>
      </c>
      <c r="J12" s="29">
        <f>SUMIFS('SALES REPORT'!$G$2:$G1000,'SALES REPORT'!$E$2:$E1000,J$4,'SALES REPORT'!$F$2:$F1000,$B12)</f>
        <v>2</v>
      </c>
      <c r="K12" s="29">
        <f>SUMIFS('SALES REPORT'!$G$2:$G1000,'SALES REPORT'!$E$2:$E1000,K$4,'SALES REPORT'!$F$2:$F1000,$B12)</f>
        <v>0</v>
      </c>
      <c r="L12" s="29">
        <f>SUMIFS('SALES REPORT'!$G$2:$G1000,'SALES REPORT'!$E$2:$E1000,L$4,'SALES REPORT'!$F$2:$F1000,$B12)</f>
        <v>0</v>
      </c>
      <c r="M12" s="29">
        <f>SUMIFS('SALES REPORT'!$G$2:$G1000,'SALES REPORT'!$E$2:$E1000,M$4,'SALES REPORT'!$F$2:$F1000,$B12)</f>
        <v>0</v>
      </c>
      <c r="N12" s="29">
        <f>SUMIFS('SALES REPORT'!$G$2:$G1000,'SALES REPORT'!$E$2:$E1000,N$4,'SALES REPORT'!$F$2:$F1000,$B12)</f>
        <v>1</v>
      </c>
      <c r="O12" s="29">
        <f>SUMIFS('SALES REPORT'!$G$2:$G1000,'SALES REPORT'!$E$2:$E1000,O$4,'SALES REPORT'!$F$2:$F1000,$B12)</f>
        <v>0</v>
      </c>
      <c r="P12" s="29">
        <f>SUMIFS('SALES REPORT'!$G$2:$G1000,'SALES REPORT'!$E$2:$E1000,P$4,'SALES REPORT'!$F$2:$F1000,$B12)</f>
        <v>0</v>
      </c>
      <c r="Q12" s="29">
        <f>SUMIFS('SALES REPORT'!$G$2:$G1000,'SALES REPORT'!$E$2:$E1000,Q$4,'SALES REPORT'!$F$2:$F1000,$B12)</f>
        <v>0</v>
      </c>
      <c r="R12" s="29">
        <f>SUMIFS('SALES REPORT'!$G$2:$G1000,'SALES REPORT'!$E$2:$E1000,R$4,'SALES REPORT'!$F$2:$F1000,$B12)</f>
        <v>0</v>
      </c>
    </row>
    <row r="13">
      <c r="B13" s="18" t="s">
        <v>83</v>
      </c>
      <c r="C13" s="29">
        <f>SUMIFS('SALES REPORT'!$G$2:$G1000,'SALES REPORT'!$E$2:$E1000,C$4,'SALES REPORT'!$F$2:$F1000,$B13)</f>
        <v>0</v>
      </c>
      <c r="D13" s="29">
        <f>SUMIFS('SALES REPORT'!$G$2:$G1000,'SALES REPORT'!$E$2:$E1000,D$4,'SALES REPORT'!$F$2:$F1000,$B13)</f>
        <v>13</v>
      </c>
      <c r="E13" s="29">
        <f>SUMIFS('SALES REPORT'!$G$2:$G1000,'SALES REPORT'!$E$2:$E1000,E$4,'SALES REPORT'!$F$2:$F1000,$B13)</f>
        <v>4</v>
      </c>
      <c r="F13" s="29">
        <f>SUMIFS('SALES REPORT'!$G$2:$G1000,'SALES REPORT'!$E$2:$E1000,F$4,'SALES REPORT'!$F$2:$F1000,$B13)</f>
        <v>0</v>
      </c>
      <c r="G13" s="29">
        <f>SUMIFS('SALES REPORT'!$G$2:$G1000,'SALES REPORT'!$E$2:$E1000,G$4,'SALES REPORT'!$F$2:$F1000,$B13)</f>
        <v>15</v>
      </c>
      <c r="H13" s="29">
        <f>SUMIFS('SALES REPORT'!$G$2:$G1000,'SALES REPORT'!$E$2:$E1000,H$4,'SALES REPORT'!$F$2:$F1000,$B13)</f>
        <v>2</v>
      </c>
      <c r="I13" s="29">
        <f>SUMIFS('SALES REPORT'!$G$2:$G1000,'SALES REPORT'!$E$2:$E1000,I$4,'SALES REPORT'!$F$2:$F1000,$B13)</f>
        <v>8</v>
      </c>
      <c r="J13" s="29">
        <f>SUMIFS('SALES REPORT'!$G$2:$G1000,'SALES REPORT'!$E$2:$E1000,J$4,'SALES REPORT'!$F$2:$F1000,$B13)</f>
        <v>0</v>
      </c>
      <c r="K13" s="29">
        <f>SUMIFS('SALES REPORT'!$G$2:$G1000,'SALES REPORT'!$E$2:$E1000,K$4,'SALES REPORT'!$F$2:$F1000,$B13)</f>
        <v>0</v>
      </c>
      <c r="L13" s="29">
        <f>SUMIFS('SALES REPORT'!$G$2:$G1000,'SALES REPORT'!$E$2:$E1000,L$4,'SALES REPORT'!$F$2:$F1000,$B13)</f>
        <v>4</v>
      </c>
      <c r="M13" s="29">
        <f>SUMIFS('SALES REPORT'!$G$2:$G1000,'SALES REPORT'!$E$2:$E1000,M$4,'SALES REPORT'!$F$2:$F1000,$B13)</f>
        <v>0</v>
      </c>
      <c r="N13" s="29">
        <f>SUMIFS('SALES REPORT'!$G$2:$G1000,'SALES REPORT'!$E$2:$E1000,N$4,'SALES REPORT'!$F$2:$F1000,$B13)</f>
        <v>0</v>
      </c>
      <c r="O13" s="29">
        <f>SUMIFS('SALES REPORT'!$G$2:$G1000,'SALES REPORT'!$E$2:$E1000,O$4,'SALES REPORT'!$F$2:$F1000,$B13)</f>
        <v>2</v>
      </c>
      <c r="P13" s="29">
        <f>SUMIFS('SALES REPORT'!$G$2:$G1000,'SALES REPORT'!$E$2:$E1000,P$4,'SALES REPORT'!$F$2:$F1000,$B13)</f>
        <v>0</v>
      </c>
      <c r="Q13" s="29">
        <f>SUMIFS('SALES REPORT'!$G$2:$G1000,'SALES REPORT'!$E$2:$E1000,Q$4,'SALES REPORT'!$F$2:$F1000,$B13)</f>
        <v>4</v>
      </c>
      <c r="R13" s="29">
        <f>SUMIFS('SALES REPORT'!$G$2:$G1000,'SALES REPORT'!$E$2:$E1000,R$4,'SALES REPORT'!$F$2:$F1000,$B13)</f>
        <v>1</v>
      </c>
    </row>
    <row r="14">
      <c r="B14" s="18" t="s">
        <v>179</v>
      </c>
      <c r="C14" s="29">
        <f>SUMIFS('SALES REPORT'!$G$2:$G1000,'SALES REPORT'!$E$2:$E1000,C$4,'SALES REPORT'!$F$2:$F1000,$B14)</f>
        <v>0</v>
      </c>
      <c r="D14" s="29">
        <f>SUMIFS('SALES REPORT'!$G$2:$G1000,'SALES REPORT'!$E$2:$E1000,D$4,'SALES REPORT'!$F$2:$F1000,$B14)</f>
        <v>0</v>
      </c>
      <c r="E14" s="29">
        <f>SUMIFS('SALES REPORT'!$G$2:$G1000,'SALES REPORT'!$E$2:$E1000,E$4,'SALES REPORT'!$F$2:$F1000,$B14)</f>
        <v>0</v>
      </c>
      <c r="F14" s="29">
        <f>SUMIFS('SALES REPORT'!$G$2:$G1000,'SALES REPORT'!$E$2:$E1000,F$4,'SALES REPORT'!$F$2:$F1000,$B14)</f>
        <v>0</v>
      </c>
      <c r="G14" s="29">
        <f>SUMIFS('SALES REPORT'!$G$2:$G1000,'SALES REPORT'!$E$2:$E1000,G$4,'SALES REPORT'!$F$2:$F1000,$B14)</f>
        <v>1</v>
      </c>
      <c r="H14" s="29">
        <f>SUMIFS('SALES REPORT'!$G$2:$G1000,'SALES REPORT'!$E$2:$E1000,H$4,'SALES REPORT'!$F$2:$F1000,$B14)</f>
        <v>1</v>
      </c>
      <c r="I14" s="29">
        <f>SUMIFS('SALES REPORT'!$G$2:$G1000,'SALES REPORT'!$E$2:$E1000,I$4,'SALES REPORT'!$F$2:$F1000,$B14)</f>
        <v>3</v>
      </c>
      <c r="J14" s="29">
        <f>SUMIFS('SALES REPORT'!$G$2:$G1000,'SALES REPORT'!$E$2:$E1000,J$4,'SALES REPORT'!$F$2:$F1000,$B14)</f>
        <v>2</v>
      </c>
      <c r="K14" s="29">
        <f>SUMIFS('SALES REPORT'!$G$2:$G1000,'SALES REPORT'!$E$2:$E1000,K$4,'SALES REPORT'!$F$2:$F1000,$B14)</f>
        <v>0</v>
      </c>
      <c r="L14" s="29">
        <f>SUMIFS('SALES REPORT'!$G$2:$G1000,'SALES REPORT'!$E$2:$E1000,L$4,'SALES REPORT'!$F$2:$F1000,$B14)</f>
        <v>0</v>
      </c>
      <c r="M14" s="29">
        <f>SUMIFS('SALES REPORT'!$G$2:$G1000,'SALES REPORT'!$E$2:$E1000,M$4,'SALES REPORT'!$F$2:$F1000,$B14)</f>
        <v>0</v>
      </c>
      <c r="N14" s="29">
        <f>SUMIFS('SALES REPORT'!$G$2:$G1000,'SALES REPORT'!$E$2:$E1000,N$4,'SALES REPORT'!$F$2:$F1000,$B14)</f>
        <v>0</v>
      </c>
      <c r="O14" s="29">
        <f>SUMIFS('SALES REPORT'!$G$2:$G1000,'SALES REPORT'!$E$2:$E1000,O$4,'SALES REPORT'!$F$2:$F1000,$B14)</f>
        <v>0</v>
      </c>
      <c r="P14" s="29">
        <f>SUMIFS('SALES REPORT'!$G$2:$G1000,'SALES REPORT'!$E$2:$E1000,P$4,'SALES REPORT'!$F$2:$F1000,$B14)</f>
        <v>0</v>
      </c>
      <c r="Q14" s="29">
        <f>SUMIFS('SALES REPORT'!$G$2:$G1000,'SALES REPORT'!$E$2:$E1000,Q$4,'SALES REPORT'!$F$2:$F1000,$B14)</f>
        <v>0</v>
      </c>
      <c r="R14" s="29">
        <f>SUMIFS('SALES REPORT'!$G$2:$G1000,'SALES REPORT'!$E$2:$E1000,R$4,'SALES REPORT'!$F$2:$F1000,$B14)</f>
        <v>0</v>
      </c>
    </row>
    <row r="15">
      <c r="B15" s="18" t="s">
        <v>57</v>
      </c>
      <c r="C15" s="29">
        <f>SUMIFS('SALES REPORT'!$G$2:$G1000,'SALES REPORT'!$E$2:$E1000,C$4,'SALES REPORT'!$F$2:$F1000,$B15)</f>
        <v>0</v>
      </c>
      <c r="D15" s="29">
        <f>SUMIFS('SALES REPORT'!$G$2:$G1000,'SALES REPORT'!$E$2:$E1000,D$4,'SALES REPORT'!$F$2:$F1000,$B15)</f>
        <v>3</v>
      </c>
      <c r="E15" s="29">
        <f>SUMIFS('SALES REPORT'!$G$2:$G1000,'SALES REPORT'!$E$2:$E1000,E$4,'SALES REPORT'!$F$2:$F1000,$B15)</f>
        <v>0</v>
      </c>
      <c r="F15" s="29">
        <f>SUMIFS('SALES REPORT'!$G$2:$G1000,'SALES REPORT'!$E$2:$E1000,F$4,'SALES REPORT'!$F$2:$F1000,$B15)</f>
        <v>0</v>
      </c>
      <c r="G15" s="29">
        <f>SUMIFS('SALES REPORT'!$G$2:$G1000,'SALES REPORT'!$E$2:$E1000,G$4,'SALES REPORT'!$F$2:$F1000,$B15)</f>
        <v>1</v>
      </c>
      <c r="H15" s="29">
        <f>SUMIFS('SALES REPORT'!$G$2:$G1000,'SALES REPORT'!$E$2:$E1000,H$4,'SALES REPORT'!$F$2:$F1000,$B15)</f>
        <v>3</v>
      </c>
      <c r="I15" s="29">
        <f>SUMIFS('SALES REPORT'!$G$2:$G1000,'SALES REPORT'!$E$2:$E1000,I$4,'SALES REPORT'!$F$2:$F1000,$B15)</f>
        <v>0</v>
      </c>
      <c r="J15" s="29">
        <f>SUMIFS('SALES REPORT'!$G$2:$G1000,'SALES REPORT'!$E$2:$E1000,J$4,'SALES REPORT'!$F$2:$F1000,$B15)</f>
        <v>0</v>
      </c>
      <c r="K15" s="29">
        <f>SUMIFS('SALES REPORT'!$G$2:$G1000,'SALES REPORT'!$E$2:$E1000,K$4,'SALES REPORT'!$F$2:$F1000,$B15)</f>
        <v>0</v>
      </c>
      <c r="L15" s="29">
        <f>SUMIFS('SALES REPORT'!$G$2:$G1000,'SALES REPORT'!$E$2:$E1000,L$4,'SALES REPORT'!$F$2:$F1000,$B15)</f>
        <v>0</v>
      </c>
      <c r="M15" s="29">
        <f>SUMIFS('SALES REPORT'!$G$2:$G1000,'SALES REPORT'!$E$2:$E1000,M$4,'SALES REPORT'!$F$2:$F1000,$B15)</f>
        <v>0</v>
      </c>
      <c r="N15" s="29">
        <f>SUMIFS('SALES REPORT'!$G$2:$G1000,'SALES REPORT'!$E$2:$E1000,N$4,'SALES REPORT'!$F$2:$F1000,$B15)</f>
        <v>0</v>
      </c>
      <c r="O15" s="29">
        <f>SUMIFS('SALES REPORT'!$G$2:$G1000,'SALES REPORT'!$E$2:$E1000,O$4,'SALES REPORT'!$F$2:$F1000,$B15)</f>
        <v>0</v>
      </c>
      <c r="P15" s="29">
        <f>SUMIFS('SALES REPORT'!$G$2:$G1000,'SALES REPORT'!$E$2:$E1000,P$4,'SALES REPORT'!$F$2:$F1000,$B15)</f>
        <v>0</v>
      </c>
      <c r="Q15" s="29">
        <f>SUMIFS('SALES REPORT'!$G$2:$G1000,'SALES REPORT'!$E$2:$E1000,Q$4,'SALES REPORT'!$F$2:$F1000,$B15)</f>
        <v>0</v>
      </c>
      <c r="R15" s="29">
        <f>SUMIFS('SALES REPORT'!$G$2:$G1000,'SALES REPORT'!$E$2:$E1000,R$4,'SALES REPORT'!$F$2:$F1000,$B15)</f>
        <v>0</v>
      </c>
    </row>
    <row r="16">
      <c r="B16" s="18" t="s">
        <v>232</v>
      </c>
      <c r="C16" s="29">
        <f>SUMIFS('SALES REPORT'!$G$2:$G1000,'SALES REPORT'!$E$2:$E1000,C$4,'SALES REPORT'!$F$2:$F1000,$B16)</f>
        <v>0</v>
      </c>
      <c r="D16" s="29">
        <f>SUMIFS('SALES REPORT'!$G$2:$G1000,'SALES REPORT'!$E$2:$E1000,D$4,'SALES REPORT'!$F$2:$F1000,$B16)</f>
        <v>5</v>
      </c>
      <c r="E16" s="29">
        <f>SUMIFS('SALES REPORT'!$G$2:$G1000,'SALES REPORT'!$E$2:$E1000,E$4,'SALES REPORT'!$F$2:$F1000,$B16)</f>
        <v>1</v>
      </c>
      <c r="F16" s="29">
        <f>SUMIFS('SALES REPORT'!$G$2:$G1000,'SALES REPORT'!$E$2:$E1000,F$4,'SALES REPORT'!$F$2:$F1000,$B16)</f>
        <v>0</v>
      </c>
      <c r="G16" s="29">
        <f>SUMIFS('SALES REPORT'!$G$2:$G1000,'SALES REPORT'!$E$2:$E1000,G$4,'SALES REPORT'!$F$2:$F1000,$B16)</f>
        <v>9</v>
      </c>
      <c r="H16" s="29">
        <f>SUMIFS('SALES REPORT'!$G$2:$G1000,'SALES REPORT'!$E$2:$E1000,H$4,'SALES REPORT'!$F$2:$F1000,$B16)</f>
        <v>0</v>
      </c>
      <c r="I16" s="29">
        <f>SUMIFS('SALES REPORT'!$G$2:$G1000,'SALES REPORT'!$E$2:$E1000,I$4,'SALES REPORT'!$F$2:$F1000,$B16)</f>
        <v>10</v>
      </c>
      <c r="J16" s="29">
        <f>SUMIFS('SALES REPORT'!$G$2:$G1000,'SALES REPORT'!$E$2:$E1000,J$4,'SALES REPORT'!$F$2:$F1000,$B16)</f>
        <v>0</v>
      </c>
      <c r="K16" s="29">
        <f>SUMIFS('SALES REPORT'!$G$2:$G1000,'SALES REPORT'!$E$2:$E1000,K$4,'SALES REPORT'!$F$2:$F1000,$B16)</f>
        <v>2</v>
      </c>
      <c r="L16" s="29">
        <f>SUMIFS('SALES REPORT'!$G$2:$G1000,'SALES REPORT'!$E$2:$E1000,L$4,'SALES REPORT'!$F$2:$F1000,$B16)</f>
        <v>0</v>
      </c>
      <c r="M16" s="29">
        <f>SUMIFS('SALES REPORT'!$G$2:$G1000,'SALES REPORT'!$E$2:$E1000,M$4,'SALES REPORT'!$F$2:$F1000,$B16)</f>
        <v>0</v>
      </c>
      <c r="N16" s="29">
        <f>SUMIFS('SALES REPORT'!$G$2:$G1000,'SALES REPORT'!$E$2:$E1000,N$4,'SALES REPORT'!$F$2:$F1000,$B16)</f>
        <v>0</v>
      </c>
      <c r="O16" s="29">
        <f>SUMIFS('SALES REPORT'!$G$2:$G1000,'SALES REPORT'!$E$2:$E1000,O$4,'SALES REPORT'!$F$2:$F1000,$B16)</f>
        <v>2</v>
      </c>
      <c r="P16" s="29">
        <f>SUMIFS('SALES REPORT'!$G$2:$G1000,'SALES REPORT'!$E$2:$E1000,P$4,'SALES REPORT'!$F$2:$F1000,$B16)</f>
        <v>2</v>
      </c>
      <c r="Q16" s="29">
        <f>SUMIFS('SALES REPORT'!$G$2:$G1000,'SALES REPORT'!$E$2:$E1000,Q$4,'SALES REPORT'!$F$2:$F1000,$B16)</f>
        <v>0</v>
      </c>
      <c r="R16" s="29">
        <f>SUMIFS('SALES REPORT'!$G$2:$G1000,'SALES REPORT'!$E$2:$E1000,R$4,'SALES REPORT'!$F$2:$F1000,$B16)</f>
        <v>0</v>
      </c>
    </row>
    <row r="17">
      <c r="B17" s="18" t="s">
        <v>81</v>
      </c>
      <c r="C17" s="29">
        <f>SUMIFS('SALES REPORT'!$G$2:$G1000,'SALES REPORT'!$E$2:$E1000,C$4,'SALES REPORT'!$F$2:$F1000,$B17)</f>
        <v>0</v>
      </c>
      <c r="D17" s="29">
        <f>SUMIFS('SALES REPORT'!$G$2:$G1000,'SALES REPORT'!$E$2:$E1000,D$4,'SALES REPORT'!$F$2:$F1000,$B17)</f>
        <v>3</v>
      </c>
      <c r="E17" s="29">
        <f>SUMIFS('SALES REPORT'!$G$2:$G1000,'SALES REPORT'!$E$2:$E1000,E$4,'SALES REPORT'!$F$2:$F1000,$B17)</f>
        <v>0</v>
      </c>
      <c r="F17" s="29">
        <f>SUMIFS('SALES REPORT'!$G$2:$G1000,'SALES REPORT'!$E$2:$E1000,F$4,'SALES REPORT'!$F$2:$F1000,$B17)</f>
        <v>0</v>
      </c>
      <c r="G17" s="29">
        <f>SUMIFS('SALES REPORT'!$G$2:$G1000,'SALES REPORT'!$E$2:$E1000,G$4,'SALES REPORT'!$F$2:$F1000,$B17)</f>
        <v>9</v>
      </c>
      <c r="H17" s="29">
        <f>SUMIFS('SALES REPORT'!$G$2:$G1000,'SALES REPORT'!$E$2:$E1000,H$4,'SALES REPORT'!$F$2:$F1000,$B17)</f>
        <v>1</v>
      </c>
      <c r="I17" s="29">
        <f>SUMIFS('SALES REPORT'!$G$2:$G1000,'SALES REPORT'!$E$2:$E1000,I$4,'SALES REPORT'!$F$2:$F1000,$B17)</f>
        <v>0</v>
      </c>
      <c r="J17" s="29">
        <f>SUMIFS('SALES REPORT'!$G$2:$G1000,'SALES REPORT'!$E$2:$E1000,J$4,'SALES REPORT'!$F$2:$F1000,$B17)</f>
        <v>0</v>
      </c>
      <c r="K17" s="29">
        <f>SUMIFS('SALES REPORT'!$G$2:$G1000,'SALES REPORT'!$E$2:$E1000,K$4,'SALES REPORT'!$F$2:$F1000,$B17)</f>
        <v>0</v>
      </c>
      <c r="L17" s="29">
        <f>SUMIFS('SALES REPORT'!$G$2:$G1000,'SALES REPORT'!$E$2:$E1000,L$4,'SALES REPORT'!$F$2:$F1000,$B17)</f>
        <v>0</v>
      </c>
      <c r="M17" s="29">
        <f>SUMIFS('SALES REPORT'!$G$2:$G1000,'SALES REPORT'!$E$2:$E1000,M$4,'SALES REPORT'!$F$2:$F1000,$B17)</f>
        <v>0</v>
      </c>
      <c r="N17" s="29">
        <f>SUMIFS('SALES REPORT'!$G$2:$G1000,'SALES REPORT'!$E$2:$E1000,N$4,'SALES REPORT'!$F$2:$F1000,$B17)</f>
        <v>0</v>
      </c>
      <c r="O17" s="29">
        <f>SUMIFS('SALES REPORT'!$G$2:$G1000,'SALES REPORT'!$E$2:$E1000,O$4,'SALES REPORT'!$F$2:$F1000,$B17)</f>
        <v>3</v>
      </c>
      <c r="P17" s="29">
        <f>SUMIFS('SALES REPORT'!$G$2:$G1000,'SALES REPORT'!$E$2:$E1000,P$4,'SALES REPORT'!$F$2:$F1000,$B17)</f>
        <v>4</v>
      </c>
      <c r="Q17" s="29">
        <f>SUMIFS('SALES REPORT'!$G$2:$G1000,'SALES REPORT'!$E$2:$E1000,Q$4,'SALES REPORT'!$F$2:$F1000,$B17)</f>
        <v>0</v>
      </c>
      <c r="R17" s="29">
        <f>SUMIFS('SALES REPORT'!$G$2:$G1000,'SALES REPORT'!$E$2:$E1000,R$4,'SALES REPORT'!$F$2:$F1000,$B17)</f>
        <v>1</v>
      </c>
    </row>
    <row r="18">
      <c r="B18" s="18" t="s">
        <v>199</v>
      </c>
      <c r="C18" s="29">
        <f>SUMIFS('SALES REPORT'!$G$2:$G1000,'SALES REPORT'!$E$2:$E1000,C$4,'SALES REPORT'!$F$2:$F1000,$B18)</f>
        <v>0</v>
      </c>
      <c r="D18" s="29">
        <f>SUMIFS('SALES REPORT'!$G$2:$G1000,'SALES REPORT'!$E$2:$E1000,D$4,'SALES REPORT'!$F$2:$F1000,$B18)</f>
        <v>0</v>
      </c>
      <c r="E18" s="29">
        <f>SUMIFS('SALES REPORT'!$G$2:$G1000,'SALES REPORT'!$E$2:$E1000,E$4,'SALES REPORT'!$F$2:$F1000,$B18)</f>
        <v>0</v>
      </c>
      <c r="F18" s="29">
        <f>SUMIFS('SALES REPORT'!$G$2:$G1000,'SALES REPORT'!$E$2:$E1000,F$4,'SALES REPORT'!$F$2:$F1000,$B18)</f>
        <v>0</v>
      </c>
      <c r="G18" s="29">
        <f>SUMIFS('SALES REPORT'!$G$2:$G1000,'SALES REPORT'!$E$2:$E1000,G$4,'SALES REPORT'!$F$2:$F1000,$B18)</f>
        <v>1</v>
      </c>
      <c r="H18" s="29">
        <f>SUMIFS('SALES REPORT'!$G$2:$G1000,'SALES REPORT'!$E$2:$E1000,H$4,'SALES REPORT'!$F$2:$F1000,$B18)</f>
        <v>0</v>
      </c>
      <c r="I18" s="29">
        <f>SUMIFS('SALES REPORT'!$G$2:$G1000,'SALES REPORT'!$E$2:$E1000,I$4,'SALES REPORT'!$F$2:$F1000,$B18)</f>
        <v>0</v>
      </c>
      <c r="J18" s="29">
        <f>SUMIFS('SALES REPORT'!$G$2:$G1000,'SALES REPORT'!$E$2:$E1000,J$4,'SALES REPORT'!$F$2:$F1000,$B18)</f>
        <v>0</v>
      </c>
      <c r="K18" s="29">
        <f>SUMIFS('SALES REPORT'!$G$2:$G1000,'SALES REPORT'!$E$2:$E1000,K$4,'SALES REPORT'!$F$2:$F1000,$B18)</f>
        <v>0</v>
      </c>
      <c r="L18" s="29">
        <f>SUMIFS('SALES REPORT'!$G$2:$G1000,'SALES REPORT'!$E$2:$E1000,L$4,'SALES REPORT'!$F$2:$F1000,$B18)</f>
        <v>0</v>
      </c>
      <c r="M18" s="29">
        <f>SUMIFS('SALES REPORT'!$G$2:$G1000,'SALES REPORT'!$E$2:$E1000,M$4,'SALES REPORT'!$F$2:$F1000,$B18)</f>
        <v>0</v>
      </c>
      <c r="N18" s="29">
        <f>SUMIFS('SALES REPORT'!$G$2:$G1000,'SALES REPORT'!$E$2:$E1000,N$4,'SALES REPORT'!$F$2:$F1000,$B18)</f>
        <v>0</v>
      </c>
      <c r="O18" s="29">
        <f>SUMIFS('SALES REPORT'!$G$2:$G1000,'SALES REPORT'!$E$2:$E1000,O$4,'SALES REPORT'!$F$2:$F1000,$B18)</f>
        <v>0</v>
      </c>
      <c r="P18" s="29">
        <f>SUMIFS('SALES REPORT'!$G$2:$G1000,'SALES REPORT'!$E$2:$E1000,P$4,'SALES REPORT'!$F$2:$F1000,$B18)</f>
        <v>0</v>
      </c>
      <c r="Q18" s="29">
        <f>SUMIFS('SALES REPORT'!$G$2:$G1000,'SALES REPORT'!$E$2:$E1000,Q$4,'SALES REPORT'!$F$2:$F1000,$B18)</f>
        <v>0</v>
      </c>
      <c r="R18" s="29">
        <f>SUMIFS('SALES REPORT'!$G$2:$G1000,'SALES REPORT'!$E$2:$E1000,R$4,'SALES REPORT'!$F$2:$F1000,$B18)</f>
        <v>0</v>
      </c>
    </row>
    <row r="19">
      <c r="B19" s="29" t="s">
        <v>233</v>
      </c>
      <c r="C19" s="29">
        <f>SUMIFS('SALES REPORT'!$G$2:$G1000,'SALES REPORT'!$E$2:$E1000,C$4,'SALES REPORT'!$F$2:$F1000,$B19)</f>
        <v>0</v>
      </c>
      <c r="D19" s="29">
        <f>SUMIFS('SALES REPORT'!$G$2:$G1000,'SALES REPORT'!$E$2:$E1000,D$4,'SALES REPORT'!$F$2:$F1000,$B19)</f>
        <v>1</v>
      </c>
      <c r="E19" s="29">
        <f>SUMIFS('SALES REPORT'!$G$2:$G1000,'SALES REPORT'!$E$2:$E1000,E$4,'SALES REPORT'!$F$2:$F1000,$B19)</f>
        <v>0</v>
      </c>
      <c r="F19" s="29">
        <f>SUMIFS('SALES REPORT'!$G$2:$G1000,'SALES REPORT'!$E$2:$E1000,F$4,'SALES REPORT'!$F$2:$F1000,$B19)</f>
        <v>0</v>
      </c>
      <c r="G19" s="29">
        <f>SUMIFS('SALES REPORT'!$G$2:$G1000,'SALES REPORT'!$E$2:$E1000,G$4,'SALES REPORT'!$F$2:$F1000,$B19)</f>
        <v>0</v>
      </c>
      <c r="H19" s="29">
        <f>SUMIFS('SALES REPORT'!$G$2:$G1000,'SALES REPORT'!$E$2:$E1000,H$4,'SALES REPORT'!$F$2:$F1000,$B19)</f>
        <v>0</v>
      </c>
      <c r="I19" s="29">
        <f>SUMIFS('SALES REPORT'!$G$2:$G1000,'SALES REPORT'!$E$2:$E1000,I$4,'SALES REPORT'!$F$2:$F1000,$B19)</f>
        <v>3</v>
      </c>
      <c r="J19" s="29">
        <f>SUMIFS('SALES REPORT'!$G$2:$G1000,'SALES REPORT'!$E$2:$E1000,J$4,'SALES REPORT'!$F$2:$F1000,$B19)</f>
        <v>0</v>
      </c>
      <c r="K19" s="29">
        <f>SUMIFS('SALES REPORT'!$G$2:$G1000,'SALES REPORT'!$E$2:$E1000,K$4,'SALES REPORT'!$F$2:$F1000,$B19)</f>
        <v>0</v>
      </c>
      <c r="L19" s="29">
        <f>SUMIFS('SALES REPORT'!$G$2:$G1000,'SALES REPORT'!$E$2:$E1000,L$4,'SALES REPORT'!$F$2:$F1000,$B19)</f>
        <v>0</v>
      </c>
      <c r="M19" s="29">
        <f>SUMIFS('SALES REPORT'!$G$2:$G1000,'SALES REPORT'!$E$2:$E1000,M$4,'SALES REPORT'!$F$2:$F1000,$B19)</f>
        <v>2</v>
      </c>
      <c r="N19" s="29">
        <f>SUMIFS('SALES REPORT'!$G$2:$G1000,'SALES REPORT'!$E$2:$E1000,N$4,'SALES REPORT'!$F$2:$F1000,$B19)</f>
        <v>0</v>
      </c>
      <c r="O19" s="29">
        <f>SUMIFS('SALES REPORT'!$G$2:$G1000,'SALES REPORT'!$E$2:$E1000,O$4,'SALES REPORT'!$F$2:$F1000,$B19)</f>
        <v>0</v>
      </c>
      <c r="P19" s="29">
        <f>SUMIFS('SALES REPORT'!$G$2:$G1000,'SALES REPORT'!$E$2:$E1000,P$4,'SALES REPORT'!$F$2:$F1000,$B19)</f>
        <v>0</v>
      </c>
      <c r="Q19" s="29">
        <f>SUMIFS('SALES REPORT'!$G$2:$G1000,'SALES REPORT'!$E$2:$E1000,Q$4,'SALES REPORT'!$F$2:$F1000,$B19)</f>
        <v>0</v>
      </c>
      <c r="R19" s="29">
        <f>SUMIFS('SALES REPORT'!$G$2:$G1000,'SALES REPORT'!$E$2:$E1000,R$4,'SALES REPORT'!$F$2:$F1000,$B19)</f>
        <v>1</v>
      </c>
    </row>
    <row r="20">
      <c r="B20" s="18" t="s">
        <v>39</v>
      </c>
      <c r="C20" s="29">
        <f>SUMIFS('SALES REPORT'!$G$2:$G1000,'SALES REPORT'!$E$2:$E1000,C$4,'SALES REPORT'!$F$2:$F1000,$B20)</f>
        <v>0</v>
      </c>
      <c r="D20" s="29">
        <f>SUMIFS('SALES REPORT'!$G$2:$G1000,'SALES REPORT'!$E$2:$E1000,D$4,'SALES REPORT'!$F$2:$F1000,$B20)</f>
        <v>2</v>
      </c>
      <c r="E20" s="29">
        <f>SUMIFS('SALES REPORT'!$G$2:$G1000,'SALES REPORT'!$E$2:$E1000,E$4,'SALES REPORT'!$F$2:$F1000,$B20)</f>
        <v>0</v>
      </c>
      <c r="F20" s="29">
        <f>SUMIFS('SALES REPORT'!$G$2:$G1000,'SALES REPORT'!$E$2:$E1000,F$4,'SALES REPORT'!$F$2:$F1000,$B20)</f>
        <v>0</v>
      </c>
      <c r="G20" s="29">
        <f>SUMIFS('SALES REPORT'!$G$2:$G1000,'SALES REPORT'!$E$2:$E1000,G$4,'SALES REPORT'!$F$2:$F1000,$B20)</f>
        <v>0</v>
      </c>
      <c r="H20" s="29">
        <f>SUMIFS('SALES REPORT'!$G$2:$G1000,'SALES REPORT'!$E$2:$E1000,H$4,'SALES REPORT'!$F$2:$F1000,$B20)</f>
        <v>0</v>
      </c>
      <c r="I20" s="29">
        <f>SUMIFS('SALES REPORT'!$G$2:$G1000,'SALES REPORT'!$E$2:$E1000,I$4,'SALES REPORT'!$F$2:$F1000,$B20)</f>
        <v>0</v>
      </c>
      <c r="J20" s="29">
        <f>SUMIFS('SALES REPORT'!$G$2:$G1000,'SALES REPORT'!$E$2:$E1000,J$4,'SALES REPORT'!$F$2:$F1000,$B20)</f>
        <v>0</v>
      </c>
      <c r="K20" s="29">
        <f>SUMIFS('SALES REPORT'!$G$2:$G1000,'SALES REPORT'!$E$2:$E1000,K$4,'SALES REPORT'!$F$2:$F1000,$B20)</f>
        <v>0</v>
      </c>
      <c r="L20" s="29">
        <f>SUMIFS('SALES REPORT'!$G$2:$G1000,'SALES REPORT'!$E$2:$E1000,L$4,'SALES REPORT'!$F$2:$F1000,$B20)</f>
        <v>0</v>
      </c>
      <c r="M20" s="29">
        <f>SUMIFS('SALES REPORT'!$G$2:$G1000,'SALES REPORT'!$E$2:$E1000,M$4,'SALES REPORT'!$F$2:$F1000,$B20)</f>
        <v>0</v>
      </c>
      <c r="N20" s="29">
        <f>SUMIFS('SALES REPORT'!$G$2:$G1000,'SALES REPORT'!$E$2:$E1000,N$4,'SALES REPORT'!$F$2:$F1000,$B20)</f>
        <v>0</v>
      </c>
      <c r="O20" s="29">
        <f>SUMIFS('SALES REPORT'!$G$2:$G1000,'SALES REPORT'!$E$2:$E1000,O$4,'SALES REPORT'!$F$2:$F1000,$B20)</f>
        <v>0</v>
      </c>
      <c r="P20" s="29">
        <f>SUMIFS('SALES REPORT'!$G$2:$G1000,'SALES REPORT'!$E$2:$E1000,P$4,'SALES REPORT'!$F$2:$F1000,$B20)</f>
        <v>0</v>
      </c>
      <c r="Q20" s="29">
        <f>SUMIFS('SALES REPORT'!$G$2:$G1000,'SALES REPORT'!$E$2:$E1000,Q$4,'SALES REPORT'!$F$2:$F1000,$B20)</f>
        <v>0</v>
      </c>
      <c r="R20" s="29">
        <f>SUMIFS('SALES REPORT'!$G$2:$G1000,'SALES REPORT'!$E$2:$E1000,R$4,'SALES REPORT'!$F$2:$F1000,$B20)</f>
        <v>0</v>
      </c>
    </row>
    <row r="21">
      <c r="B21" s="18" t="s">
        <v>36</v>
      </c>
      <c r="C21" s="29">
        <f>SUMIFS('SALES REPORT'!$G$2:$G1000,'SALES REPORT'!$E$2:$E1000,C$4,'SALES REPORT'!$F$2:$F1000,$B21)</f>
        <v>0</v>
      </c>
      <c r="D21" s="29">
        <f>SUMIFS('SALES REPORT'!$G$2:$G1000,'SALES REPORT'!$E$2:$E1000,D$4,'SALES REPORT'!$F$2:$F1000,$B21)</f>
        <v>4</v>
      </c>
      <c r="E21" s="29">
        <f>SUMIFS('SALES REPORT'!$G$2:$G1000,'SALES REPORT'!$E$2:$E1000,E$4,'SALES REPORT'!$F$2:$F1000,$B21)</f>
        <v>0</v>
      </c>
      <c r="F21" s="29">
        <f>SUMIFS('SALES REPORT'!$G$2:$G1000,'SALES REPORT'!$E$2:$E1000,F$4,'SALES REPORT'!$F$2:$F1000,$B21)</f>
        <v>0</v>
      </c>
      <c r="G21" s="29">
        <f>SUMIFS('SALES REPORT'!$G$2:$G1000,'SALES REPORT'!$E$2:$E1000,G$4,'SALES REPORT'!$F$2:$F1000,$B21)</f>
        <v>3</v>
      </c>
      <c r="H21" s="29">
        <f>SUMIFS('SALES REPORT'!$G$2:$G1000,'SALES REPORT'!$E$2:$E1000,H$4,'SALES REPORT'!$F$2:$F1000,$B21)</f>
        <v>0</v>
      </c>
      <c r="I21" s="29">
        <f>SUMIFS('SALES REPORT'!$G$2:$G1000,'SALES REPORT'!$E$2:$E1000,I$4,'SALES REPORT'!$F$2:$F1000,$B21)</f>
        <v>2</v>
      </c>
      <c r="J21" s="29">
        <f>SUMIFS('SALES REPORT'!$G$2:$G1000,'SALES REPORT'!$E$2:$E1000,J$4,'SALES REPORT'!$F$2:$F1000,$B21)</f>
        <v>0</v>
      </c>
      <c r="K21" s="29">
        <f>SUMIFS('SALES REPORT'!$G$2:$G1000,'SALES REPORT'!$E$2:$E1000,K$4,'SALES REPORT'!$F$2:$F1000,$B21)</f>
        <v>0</v>
      </c>
      <c r="L21" s="29">
        <f>SUMIFS('SALES REPORT'!$G$2:$G1000,'SALES REPORT'!$E$2:$E1000,L$4,'SALES REPORT'!$F$2:$F1000,$B21)</f>
        <v>0</v>
      </c>
      <c r="M21" s="29">
        <f>SUMIFS('SALES REPORT'!$G$2:$G1000,'SALES REPORT'!$E$2:$E1000,M$4,'SALES REPORT'!$F$2:$F1000,$B21)</f>
        <v>0</v>
      </c>
      <c r="N21" s="29">
        <f>SUMIFS('SALES REPORT'!$G$2:$G1000,'SALES REPORT'!$E$2:$E1000,N$4,'SALES REPORT'!$F$2:$F1000,$B21)</f>
        <v>1</v>
      </c>
      <c r="O21" s="29">
        <f>SUMIFS('SALES REPORT'!$G$2:$G1000,'SALES REPORT'!$E$2:$E1000,O$4,'SALES REPORT'!$F$2:$F1000,$B21)</f>
        <v>0</v>
      </c>
      <c r="P21" s="29">
        <f>SUMIFS('SALES REPORT'!$G$2:$G1000,'SALES REPORT'!$E$2:$E1000,P$4,'SALES REPORT'!$F$2:$F1000,$B21)</f>
        <v>1</v>
      </c>
      <c r="Q21" s="29">
        <f>SUMIFS('SALES REPORT'!$G$2:$G1000,'SALES REPORT'!$E$2:$E1000,Q$4,'SALES REPORT'!$F$2:$F1000,$B21)</f>
        <v>0</v>
      </c>
      <c r="R21" s="29">
        <f>SUMIFS('SALES REPORT'!$G$2:$G1000,'SALES REPORT'!$E$2:$E1000,R$4,'SALES REPORT'!$F$2:$F1000,$B21)</f>
        <v>0</v>
      </c>
    </row>
    <row r="22">
      <c r="B22" s="18" t="s">
        <v>234</v>
      </c>
      <c r="C22" s="29">
        <f>SUMIFS('SALES REPORT'!$G$2:$G1000,'SALES REPORT'!$E$2:$E1000,C$4,'SALES REPORT'!$F$2:$F1000,$B22)</f>
        <v>0</v>
      </c>
      <c r="D22" s="29">
        <f>SUMIFS('SALES REPORT'!$G$2:$G1000,'SALES REPORT'!$E$2:$E1000,D$4,'SALES REPORT'!$F$2:$F1000,$B22)</f>
        <v>0</v>
      </c>
      <c r="E22" s="29">
        <f>SUMIFS('SALES REPORT'!$G$2:$G1000,'SALES REPORT'!$E$2:$E1000,E$4,'SALES REPORT'!$F$2:$F1000,$B22)</f>
        <v>0</v>
      </c>
      <c r="F22" s="29">
        <f>SUMIFS('SALES REPORT'!$G$2:$G1000,'SALES REPORT'!$E$2:$E1000,F$4,'SALES REPORT'!$F$2:$F1000,$B22)</f>
        <v>0</v>
      </c>
      <c r="G22" s="29">
        <f>SUMIFS('SALES REPORT'!$G$2:$G1000,'SALES REPORT'!$E$2:$E1000,G$4,'SALES REPORT'!$F$2:$F1000,$B22)</f>
        <v>0</v>
      </c>
      <c r="H22" s="29">
        <f>SUMIFS('SALES REPORT'!$G$2:$G1000,'SALES REPORT'!$E$2:$E1000,H$4,'SALES REPORT'!$F$2:$F1000,$B22)</f>
        <v>1</v>
      </c>
      <c r="I22" s="29">
        <f>SUMIFS('SALES REPORT'!$G$2:$G1000,'SALES REPORT'!$E$2:$E1000,I$4,'SALES REPORT'!$F$2:$F1000,$B22)</f>
        <v>0</v>
      </c>
      <c r="J22" s="29">
        <f>SUMIFS('SALES REPORT'!$G$2:$G1000,'SALES REPORT'!$E$2:$E1000,J$4,'SALES REPORT'!$F$2:$F1000,$B22)</f>
        <v>0</v>
      </c>
      <c r="K22" s="29">
        <f>SUMIFS('SALES REPORT'!$G$2:$G1000,'SALES REPORT'!$E$2:$E1000,K$4,'SALES REPORT'!$F$2:$F1000,$B22)</f>
        <v>0</v>
      </c>
      <c r="L22" s="29">
        <f>SUMIFS('SALES REPORT'!$G$2:$G1000,'SALES REPORT'!$E$2:$E1000,L$4,'SALES REPORT'!$F$2:$F1000,$B22)</f>
        <v>0</v>
      </c>
      <c r="M22" s="29">
        <f>SUMIFS('SALES REPORT'!$G$2:$G1000,'SALES REPORT'!$E$2:$E1000,M$4,'SALES REPORT'!$F$2:$F1000,$B22)</f>
        <v>0</v>
      </c>
      <c r="N22" s="29">
        <f>SUMIFS('SALES REPORT'!$G$2:$G1000,'SALES REPORT'!$E$2:$E1000,N$4,'SALES REPORT'!$F$2:$F1000,$B22)</f>
        <v>0</v>
      </c>
      <c r="O22" s="29">
        <f>SUMIFS('SALES REPORT'!$G$2:$G1000,'SALES REPORT'!$E$2:$E1000,O$4,'SALES REPORT'!$F$2:$F1000,$B22)</f>
        <v>1</v>
      </c>
      <c r="P22" s="29">
        <f>SUMIFS('SALES REPORT'!$G$2:$G1000,'SALES REPORT'!$E$2:$E1000,P$4,'SALES REPORT'!$F$2:$F1000,$B22)</f>
        <v>0</v>
      </c>
      <c r="Q22" s="29">
        <f>SUMIFS('SALES REPORT'!$G$2:$G1000,'SALES REPORT'!$E$2:$E1000,Q$4,'SALES REPORT'!$F$2:$F1000,$B22)</f>
        <v>0</v>
      </c>
      <c r="R22" s="29">
        <f>SUMIFS('SALES REPORT'!$G$2:$G1000,'SALES REPORT'!$E$2:$E1000,R$4,'SALES REPORT'!$F$2:$F1000,$B22)</f>
        <v>0</v>
      </c>
    </row>
    <row r="23">
      <c r="B23" s="29" t="s">
        <v>235</v>
      </c>
      <c r="C23" s="29">
        <f>SUMIFS('SALES REPORT'!$G$2:$G1000,'SALES REPORT'!$E$2:$E1000,C$4,'SALES REPORT'!$F$2:$F1000,$B23)</f>
        <v>0</v>
      </c>
      <c r="D23" s="29">
        <f>SUMIFS('SALES REPORT'!$G$2:$G1000,'SALES REPORT'!$E$2:$E1000,D$4,'SALES REPORT'!$F$2:$F1000,$B23)</f>
        <v>0</v>
      </c>
      <c r="E23" s="29">
        <f>SUMIFS('SALES REPORT'!$G$2:$G1000,'SALES REPORT'!$E$2:$E1000,E$4,'SALES REPORT'!$F$2:$F1000,$B23)</f>
        <v>0</v>
      </c>
      <c r="F23" s="29">
        <f>SUMIFS('SALES REPORT'!$G$2:$G1000,'SALES REPORT'!$E$2:$E1000,F$4,'SALES REPORT'!$F$2:$F1000,$B23)</f>
        <v>0</v>
      </c>
      <c r="G23" s="29">
        <f>SUMIFS('SALES REPORT'!$G$2:$G1000,'SALES REPORT'!$E$2:$E1000,G$4,'SALES REPORT'!$F$2:$F1000,$B23)</f>
        <v>0</v>
      </c>
      <c r="H23" s="29">
        <f>SUMIFS('SALES REPORT'!$G$2:$G1000,'SALES REPORT'!$E$2:$E1000,H$4,'SALES REPORT'!$F$2:$F1000,$B23)</f>
        <v>0</v>
      </c>
      <c r="I23" s="29">
        <f>SUMIFS('SALES REPORT'!$G$2:$G1000,'SALES REPORT'!$E$2:$E1000,I$4,'SALES REPORT'!$F$2:$F1000,$B23)</f>
        <v>0</v>
      </c>
      <c r="J23" s="29">
        <f>SUMIFS('SALES REPORT'!$G$2:$G1000,'SALES REPORT'!$E$2:$E1000,J$4,'SALES REPORT'!$F$2:$F1000,$B23)</f>
        <v>0</v>
      </c>
      <c r="K23" s="29">
        <f>SUMIFS('SALES REPORT'!$G$2:$G1000,'SALES REPORT'!$E$2:$E1000,K$4,'SALES REPORT'!$F$2:$F1000,$B23)</f>
        <v>0</v>
      </c>
      <c r="L23" s="29">
        <f>SUMIFS('SALES REPORT'!$G$2:$G1000,'SALES REPORT'!$E$2:$E1000,L$4,'SALES REPORT'!$F$2:$F1000,$B23)</f>
        <v>0</v>
      </c>
      <c r="M23" s="29">
        <f>SUMIFS('SALES REPORT'!$G$2:$G1000,'SALES REPORT'!$E$2:$E1000,M$4,'SALES REPORT'!$F$2:$F1000,$B23)</f>
        <v>0</v>
      </c>
      <c r="N23" s="29">
        <f>SUMIFS('SALES REPORT'!$G$2:$G1000,'SALES REPORT'!$E$2:$E1000,N$4,'SALES REPORT'!$F$2:$F1000,$B23)</f>
        <v>0</v>
      </c>
      <c r="O23" s="29">
        <f>SUMIFS('SALES REPORT'!$G$2:$G1000,'SALES REPORT'!$E$2:$E1000,O$4,'SALES REPORT'!$F$2:$F1000,$B23)</f>
        <v>1</v>
      </c>
      <c r="P23" s="29">
        <f>SUMIFS('SALES REPORT'!$G$2:$G1000,'SALES REPORT'!$E$2:$E1000,P$4,'SALES REPORT'!$F$2:$F1000,$B23)</f>
        <v>0</v>
      </c>
      <c r="Q23" s="29">
        <f>SUMIFS('SALES REPORT'!$G$2:$G1000,'SALES REPORT'!$E$2:$E1000,Q$4,'SALES REPORT'!$F$2:$F1000,$B23)</f>
        <v>0</v>
      </c>
      <c r="R23" s="29">
        <f>SUMIFS('SALES REPORT'!$G$2:$G1000,'SALES REPORT'!$E$2:$E1000,R$4,'SALES REPORT'!$F$2:$F1000,$B23)</f>
        <v>0</v>
      </c>
    </row>
    <row r="24">
      <c r="B24" s="18" t="s">
        <v>236</v>
      </c>
      <c r="C24" s="29">
        <f>SUMIFS('SALES REPORT'!$G$2:$G1000,'SALES REPORT'!$E$2:$E1000,C$4,'SALES REPORT'!$F$2:$F1000,$B24)</f>
        <v>0</v>
      </c>
      <c r="D24" s="29">
        <f>SUMIFS('SALES REPORT'!$G$2:$G1000,'SALES REPORT'!$E$2:$E1000,D$4,'SALES REPORT'!$F$2:$F1000,$B24)</f>
        <v>1</v>
      </c>
      <c r="E24" s="29">
        <f>SUMIFS('SALES REPORT'!$G$2:$G1000,'SALES REPORT'!$E$2:$E1000,E$4,'SALES REPORT'!$F$2:$F1000,$B24)</f>
        <v>0</v>
      </c>
      <c r="F24" s="29">
        <f>SUMIFS('SALES REPORT'!$G$2:$G1000,'SALES REPORT'!$E$2:$E1000,F$4,'SALES REPORT'!$F$2:$F1000,$B24)</f>
        <v>0</v>
      </c>
      <c r="G24" s="29">
        <f>SUMIFS('SALES REPORT'!$G$2:$G1000,'SALES REPORT'!$E$2:$E1000,G$4,'SALES REPORT'!$F$2:$F1000,$B24)</f>
        <v>0</v>
      </c>
      <c r="H24" s="29">
        <f>SUMIFS('SALES REPORT'!$G$2:$G1000,'SALES REPORT'!$E$2:$E1000,H$4,'SALES REPORT'!$F$2:$F1000,$B24)</f>
        <v>0</v>
      </c>
      <c r="I24" s="29">
        <f>SUMIFS('SALES REPORT'!$G$2:$G1000,'SALES REPORT'!$E$2:$E1000,I$4,'SALES REPORT'!$F$2:$F1000,$B24)</f>
        <v>0</v>
      </c>
      <c r="J24" s="29">
        <f>SUMIFS('SALES REPORT'!$G$2:$G1000,'SALES REPORT'!$E$2:$E1000,J$4,'SALES REPORT'!$F$2:$F1000,$B24)</f>
        <v>0</v>
      </c>
      <c r="K24" s="29">
        <f>SUMIFS('SALES REPORT'!$G$2:$G1000,'SALES REPORT'!$E$2:$E1000,K$4,'SALES REPORT'!$F$2:$F1000,$B24)</f>
        <v>0</v>
      </c>
      <c r="L24" s="29">
        <f>SUMIFS('SALES REPORT'!$G$2:$G1000,'SALES REPORT'!$E$2:$E1000,L$4,'SALES REPORT'!$F$2:$F1000,$B24)</f>
        <v>0</v>
      </c>
      <c r="M24" s="29">
        <f>SUMIFS('SALES REPORT'!$G$2:$G1000,'SALES REPORT'!$E$2:$E1000,M$4,'SALES REPORT'!$F$2:$F1000,$B24)</f>
        <v>0</v>
      </c>
      <c r="N24" s="29">
        <f>SUMIFS('SALES REPORT'!$G$2:$G1000,'SALES REPORT'!$E$2:$E1000,N$4,'SALES REPORT'!$F$2:$F1000,$B24)</f>
        <v>0</v>
      </c>
      <c r="O24" s="29">
        <f>SUMIFS('SALES REPORT'!$G$2:$G1000,'SALES REPORT'!$E$2:$E1000,O$4,'SALES REPORT'!$F$2:$F1000,$B24)</f>
        <v>0</v>
      </c>
      <c r="P24" s="29">
        <f>SUMIFS('SALES REPORT'!$G$2:$G1000,'SALES REPORT'!$E$2:$E1000,P$4,'SALES REPORT'!$F$2:$F1000,$B24)</f>
        <v>0</v>
      </c>
      <c r="Q24" s="29">
        <f>SUMIFS('SALES REPORT'!$G$2:$G1000,'SALES REPORT'!$E$2:$E1000,Q$4,'SALES REPORT'!$F$2:$F1000,$B24)</f>
        <v>0</v>
      </c>
      <c r="R24" s="29">
        <f>SUMIFS('SALES REPORT'!$G$2:$G1000,'SALES REPORT'!$E$2:$E1000,R$4,'SALES REPORT'!$F$2:$F1000,$B24)</f>
        <v>0</v>
      </c>
    </row>
    <row r="25">
      <c r="B25" s="18" t="s">
        <v>237</v>
      </c>
      <c r="C25" s="29">
        <f>SUMIFS('SALES REPORT'!$G$2:$G1000,'SALES REPORT'!$E$2:$E1000,C$4,'SALES REPORT'!$F$2:$F1000,$B25)</f>
        <v>0</v>
      </c>
      <c r="D25" s="29">
        <f>SUMIFS('SALES REPORT'!$G$2:$G1000,'SALES REPORT'!$E$2:$E1000,D$4,'SALES REPORT'!$F$2:$F1000,$B25)</f>
        <v>1</v>
      </c>
      <c r="E25" s="29">
        <f>SUMIFS('SALES REPORT'!$G$2:$G1000,'SALES REPORT'!$E$2:$E1000,E$4,'SALES REPORT'!$F$2:$F1000,$B25)</f>
        <v>0</v>
      </c>
      <c r="F25" s="29">
        <f>SUMIFS('SALES REPORT'!$G$2:$G1000,'SALES REPORT'!$E$2:$E1000,F$4,'SALES REPORT'!$F$2:$F1000,$B25)</f>
        <v>0</v>
      </c>
      <c r="G25" s="29">
        <f>SUMIFS('SALES REPORT'!$G$2:$G1000,'SALES REPORT'!$E$2:$E1000,G$4,'SALES REPORT'!$F$2:$F1000,$B25)</f>
        <v>0</v>
      </c>
      <c r="H25" s="29">
        <f>SUMIFS('SALES REPORT'!$G$2:$G1000,'SALES REPORT'!$E$2:$E1000,H$4,'SALES REPORT'!$F$2:$F1000,$B25)</f>
        <v>0</v>
      </c>
      <c r="I25" s="29">
        <f>SUMIFS('SALES REPORT'!$G$2:$G1000,'SALES REPORT'!$E$2:$E1000,I$4,'SALES REPORT'!$F$2:$F1000,$B25)</f>
        <v>1</v>
      </c>
      <c r="J25" s="29">
        <f>SUMIFS('SALES REPORT'!$G$2:$G1000,'SALES REPORT'!$E$2:$E1000,J$4,'SALES REPORT'!$F$2:$F1000,$B25)</f>
        <v>0</v>
      </c>
      <c r="K25" s="29">
        <f>SUMIFS('SALES REPORT'!$G$2:$G1000,'SALES REPORT'!$E$2:$E1000,K$4,'SALES REPORT'!$F$2:$F1000,$B25)</f>
        <v>0</v>
      </c>
      <c r="L25" s="29">
        <f>SUMIFS('SALES REPORT'!$G$2:$G1000,'SALES REPORT'!$E$2:$E1000,L$4,'SALES REPORT'!$F$2:$F1000,$B25)</f>
        <v>0</v>
      </c>
      <c r="M25" s="29">
        <f>SUMIFS('SALES REPORT'!$G$2:$G1000,'SALES REPORT'!$E$2:$E1000,M$4,'SALES REPORT'!$F$2:$F1000,$B25)</f>
        <v>0</v>
      </c>
      <c r="N25" s="29">
        <f>SUMIFS('SALES REPORT'!$G$2:$G1000,'SALES REPORT'!$E$2:$E1000,N$4,'SALES REPORT'!$F$2:$F1000,$B25)</f>
        <v>0</v>
      </c>
      <c r="O25" s="29">
        <f>SUMIFS('SALES REPORT'!$G$2:$G1000,'SALES REPORT'!$E$2:$E1000,O$4,'SALES REPORT'!$F$2:$F1000,$B25)</f>
        <v>0</v>
      </c>
      <c r="P25" s="29">
        <f>SUMIFS('SALES REPORT'!$G$2:$G1000,'SALES REPORT'!$E$2:$E1000,P$4,'SALES REPORT'!$F$2:$F1000,$B25)</f>
        <v>0</v>
      </c>
      <c r="Q25" s="29">
        <f>SUMIFS('SALES REPORT'!$G$2:$G1000,'SALES REPORT'!$E$2:$E1000,Q$4,'SALES REPORT'!$F$2:$F1000,$B25)</f>
        <v>0</v>
      </c>
      <c r="R25" s="29">
        <f>SUMIFS('SALES REPORT'!$G$2:$G1000,'SALES REPORT'!$E$2:$E1000,R$4,'SALES REPORT'!$F$2:$F1000,$B25)</f>
        <v>0</v>
      </c>
    </row>
    <row r="26">
      <c r="B26" s="18" t="s">
        <v>170</v>
      </c>
      <c r="C26" s="29">
        <f>SUMIFS('SALES REPORT'!$G$2:$G1000,'SALES REPORT'!$E$2:$E1000,C$4,'SALES REPORT'!$F$2:$F1000,$B26)</f>
        <v>0</v>
      </c>
      <c r="D26" s="29">
        <f>SUMIFS('SALES REPORT'!$G$2:$G1000,'SALES REPORT'!$E$2:$E1000,D$4,'SALES REPORT'!$F$2:$F1000,$B26)</f>
        <v>0</v>
      </c>
      <c r="E26" s="29">
        <f>SUMIFS('SALES REPORT'!$G$2:$G1000,'SALES REPORT'!$E$2:$E1000,E$4,'SALES REPORT'!$F$2:$F1000,$B26)</f>
        <v>0</v>
      </c>
      <c r="F26" s="29">
        <f>SUMIFS('SALES REPORT'!$G$2:$G1000,'SALES REPORT'!$E$2:$E1000,F$4,'SALES REPORT'!$F$2:$F1000,$B26)</f>
        <v>0</v>
      </c>
      <c r="G26" s="29">
        <f>SUMIFS('SALES REPORT'!$G$2:$G1000,'SALES REPORT'!$E$2:$E1000,G$4,'SALES REPORT'!$F$2:$F1000,$B26)</f>
        <v>1</v>
      </c>
      <c r="H26" s="29">
        <f>SUMIFS('SALES REPORT'!$G$2:$G1000,'SALES REPORT'!$E$2:$E1000,H$4,'SALES REPORT'!$F$2:$F1000,$B26)</f>
        <v>0</v>
      </c>
      <c r="I26" s="29">
        <f>SUMIFS('SALES REPORT'!$G$2:$G1000,'SALES REPORT'!$E$2:$E1000,I$4,'SALES REPORT'!$F$2:$F1000,$B26)</f>
        <v>0</v>
      </c>
      <c r="J26" s="29">
        <f>SUMIFS('SALES REPORT'!$G$2:$G1000,'SALES REPORT'!$E$2:$E1000,J$4,'SALES REPORT'!$F$2:$F1000,$B26)</f>
        <v>0</v>
      </c>
      <c r="K26" s="29">
        <f>SUMIFS('SALES REPORT'!$G$2:$G1000,'SALES REPORT'!$E$2:$E1000,K$4,'SALES REPORT'!$F$2:$F1000,$B26)</f>
        <v>0</v>
      </c>
      <c r="L26" s="29">
        <f>SUMIFS('SALES REPORT'!$G$2:$G1000,'SALES REPORT'!$E$2:$E1000,L$4,'SALES REPORT'!$F$2:$F1000,$B26)</f>
        <v>0</v>
      </c>
      <c r="M26" s="29">
        <f>SUMIFS('SALES REPORT'!$G$2:$G1000,'SALES REPORT'!$E$2:$E1000,M$4,'SALES REPORT'!$F$2:$F1000,$B26)</f>
        <v>0</v>
      </c>
      <c r="N26" s="29">
        <f>SUMIFS('SALES REPORT'!$G$2:$G1000,'SALES REPORT'!$E$2:$E1000,N$4,'SALES REPORT'!$F$2:$F1000,$B26)</f>
        <v>0</v>
      </c>
      <c r="O26" s="29">
        <f>SUMIFS('SALES REPORT'!$G$2:$G1000,'SALES REPORT'!$E$2:$E1000,O$4,'SALES REPORT'!$F$2:$F1000,$B26)</f>
        <v>0</v>
      </c>
      <c r="P26" s="29">
        <f>SUMIFS('SALES REPORT'!$G$2:$G1000,'SALES REPORT'!$E$2:$E1000,P$4,'SALES REPORT'!$F$2:$F1000,$B26)</f>
        <v>0</v>
      </c>
      <c r="Q26" s="29">
        <f>SUMIFS('SALES REPORT'!$G$2:$G1000,'SALES REPORT'!$E$2:$E1000,Q$4,'SALES REPORT'!$F$2:$F1000,$B26)</f>
        <v>0</v>
      </c>
      <c r="R26" s="29">
        <f>SUMIFS('SALES REPORT'!$G$2:$G1000,'SALES REPORT'!$E$2:$E1000,R$4,'SALES REPORT'!$F$2:$F1000,$B26)</f>
        <v>0</v>
      </c>
    </row>
    <row r="27">
      <c r="B27" s="18" t="s">
        <v>176</v>
      </c>
      <c r="C27" s="29">
        <f>SUMIFS('SALES REPORT'!$G$2:$G1000,'SALES REPORT'!$E$2:$E1000,C$4,'SALES REPORT'!$F$2:$F1000,$B27)</f>
        <v>0</v>
      </c>
      <c r="D27" s="29">
        <f>SUMIFS('SALES REPORT'!$G$2:$G1000,'SALES REPORT'!$E$2:$E1000,D$4,'SALES REPORT'!$F$2:$F1000,$B27)</f>
        <v>0</v>
      </c>
      <c r="E27" s="29">
        <f>SUMIFS('SALES REPORT'!$G$2:$G1000,'SALES REPORT'!$E$2:$E1000,E$4,'SALES REPORT'!$F$2:$F1000,$B27)</f>
        <v>1</v>
      </c>
      <c r="F27" s="29">
        <f>SUMIFS('SALES REPORT'!$G$2:$G1000,'SALES REPORT'!$E$2:$E1000,F$4,'SALES REPORT'!$F$2:$F1000,$B27)</f>
        <v>0</v>
      </c>
      <c r="G27" s="29">
        <f>SUMIFS('SALES REPORT'!$G$2:$G1000,'SALES REPORT'!$E$2:$E1000,G$4,'SALES REPORT'!$F$2:$F1000,$B27)</f>
        <v>0</v>
      </c>
      <c r="H27" s="29">
        <f>SUMIFS('SALES REPORT'!$G$2:$G1000,'SALES REPORT'!$E$2:$E1000,H$4,'SALES REPORT'!$F$2:$F1000,$B27)</f>
        <v>0</v>
      </c>
      <c r="I27" s="29">
        <f>SUMIFS('SALES REPORT'!$G$2:$G1000,'SALES REPORT'!$E$2:$E1000,I$4,'SALES REPORT'!$F$2:$F1000,$B27)</f>
        <v>0</v>
      </c>
      <c r="J27" s="29">
        <f>SUMIFS('SALES REPORT'!$G$2:$G1000,'SALES REPORT'!$E$2:$E1000,J$4,'SALES REPORT'!$F$2:$F1000,$B27)</f>
        <v>0</v>
      </c>
      <c r="K27" s="29">
        <f>SUMIFS('SALES REPORT'!$G$2:$G1000,'SALES REPORT'!$E$2:$E1000,K$4,'SALES REPORT'!$F$2:$F1000,$B27)</f>
        <v>0</v>
      </c>
      <c r="L27" s="29">
        <f>SUMIFS('SALES REPORT'!$G$2:$G1000,'SALES REPORT'!$E$2:$E1000,L$4,'SALES REPORT'!$F$2:$F1000,$B27)</f>
        <v>0</v>
      </c>
      <c r="M27" s="29">
        <f>SUMIFS('SALES REPORT'!$G$2:$G1000,'SALES REPORT'!$E$2:$E1000,M$4,'SALES REPORT'!$F$2:$F1000,$B27)</f>
        <v>0</v>
      </c>
      <c r="N27" s="29">
        <f>SUMIFS('SALES REPORT'!$G$2:$G1000,'SALES REPORT'!$E$2:$E1000,N$4,'SALES REPORT'!$F$2:$F1000,$B27)</f>
        <v>0</v>
      </c>
      <c r="O27" s="29">
        <f>SUMIFS('SALES REPORT'!$G$2:$G1000,'SALES REPORT'!$E$2:$E1000,O$4,'SALES REPORT'!$F$2:$F1000,$B27)</f>
        <v>0</v>
      </c>
      <c r="P27" s="29">
        <f>SUMIFS('SALES REPORT'!$G$2:$G1000,'SALES REPORT'!$E$2:$E1000,P$4,'SALES REPORT'!$F$2:$F1000,$B27)</f>
        <v>0</v>
      </c>
      <c r="Q27" s="29">
        <f>SUMIFS('SALES REPORT'!$G$2:$G1000,'SALES REPORT'!$E$2:$E1000,Q$4,'SALES REPORT'!$F$2:$F1000,$B27)</f>
        <v>0</v>
      </c>
      <c r="R27" s="29">
        <f>SUMIFS('SALES REPORT'!$G$2:$G1000,'SALES REPORT'!$E$2:$E1000,R$4,'SALES REPORT'!$F$2:$F1000,$B27)</f>
        <v>0</v>
      </c>
    </row>
    <row r="28">
      <c r="B28" s="18" t="s">
        <v>177</v>
      </c>
      <c r="C28" s="29">
        <f>SUMIFS('SALES REPORT'!$G$2:$G1000,'SALES REPORT'!$E$2:$E1000,C$4,'SALES REPORT'!$F$2:$F1000,$B28)</f>
        <v>0</v>
      </c>
      <c r="D28" s="29">
        <f>SUMIFS('SALES REPORT'!$G$2:$G1000,'SALES REPORT'!$E$2:$E1000,D$4,'SALES REPORT'!$F$2:$F1000,$B28)</f>
        <v>0</v>
      </c>
      <c r="E28" s="29">
        <f>SUMIFS('SALES REPORT'!$G$2:$G1000,'SALES REPORT'!$E$2:$E1000,E$4,'SALES REPORT'!$F$2:$F1000,$B28)</f>
        <v>0</v>
      </c>
      <c r="F28" s="29">
        <f>SUMIFS('SALES REPORT'!$G$2:$G1000,'SALES REPORT'!$E$2:$E1000,F$4,'SALES REPORT'!$F$2:$F1000,$B28)</f>
        <v>0</v>
      </c>
      <c r="G28" s="29">
        <f>SUMIFS('SALES REPORT'!$G$2:$G1000,'SALES REPORT'!$E$2:$E1000,G$4,'SALES REPORT'!$F$2:$F1000,$B28)</f>
        <v>0</v>
      </c>
      <c r="H28" s="29">
        <f>SUMIFS('SALES REPORT'!$G$2:$G1000,'SALES REPORT'!$E$2:$E1000,H$4,'SALES REPORT'!$F$2:$F1000,$B28)</f>
        <v>0</v>
      </c>
      <c r="I28" s="29">
        <f>SUMIFS('SALES REPORT'!$G$2:$G1000,'SALES REPORT'!$E$2:$E1000,I$4,'SALES REPORT'!$F$2:$F1000,$B28)</f>
        <v>1</v>
      </c>
      <c r="J28" s="29">
        <f>SUMIFS('SALES REPORT'!$G$2:$G1000,'SALES REPORT'!$E$2:$E1000,J$4,'SALES REPORT'!$F$2:$F1000,$B28)</f>
        <v>0</v>
      </c>
      <c r="K28" s="29">
        <f>SUMIFS('SALES REPORT'!$G$2:$G1000,'SALES REPORT'!$E$2:$E1000,K$4,'SALES REPORT'!$F$2:$F1000,$B28)</f>
        <v>0</v>
      </c>
      <c r="L28" s="29">
        <f>SUMIFS('SALES REPORT'!$G$2:$G1000,'SALES REPORT'!$E$2:$E1000,L$4,'SALES REPORT'!$F$2:$F1000,$B28)</f>
        <v>0</v>
      </c>
      <c r="M28" s="29">
        <f>SUMIFS('SALES REPORT'!$G$2:$G1000,'SALES REPORT'!$E$2:$E1000,M$4,'SALES REPORT'!$F$2:$F1000,$B28)</f>
        <v>0</v>
      </c>
      <c r="N28" s="29">
        <f>SUMIFS('SALES REPORT'!$G$2:$G1000,'SALES REPORT'!$E$2:$E1000,N$4,'SALES REPORT'!$F$2:$F1000,$B28)</f>
        <v>0</v>
      </c>
      <c r="O28" s="29">
        <f>SUMIFS('SALES REPORT'!$G$2:$G1000,'SALES REPORT'!$E$2:$E1000,O$4,'SALES REPORT'!$F$2:$F1000,$B28)</f>
        <v>0</v>
      </c>
      <c r="P28" s="29">
        <f>SUMIFS('SALES REPORT'!$G$2:$G1000,'SALES REPORT'!$E$2:$E1000,P$4,'SALES REPORT'!$F$2:$F1000,$B28)</f>
        <v>0</v>
      </c>
      <c r="Q28" s="29">
        <f>SUMIFS('SALES REPORT'!$G$2:$G1000,'SALES REPORT'!$E$2:$E1000,Q$4,'SALES REPORT'!$F$2:$F1000,$B28)</f>
        <v>0</v>
      </c>
      <c r="R28" s="29">
        <f>SUMIFS('SALES REPORT'!$G$2:$G1000,'SALES REPORT'!$E$2:$E1000,R$4,'SALES REPORT'!$F$2:$F1000,$B28)</f>
        <v>0</v>
      </c>
    </row>
    <row r="29">
      <c r="B29" s="29" t="s">
        <v>238</v>
      </c>
      <c r="C29" s="29">
        <f>SUMIFS('SALES REPORT'!$G$2:$G1000,'SALES REPORT'!$E$2:$E1000,C$4,'SALES REPORT'!$F$2:$F1000,$B29)</f>
        <v>0</v>
      </c>
      <c r="D29" s="29">
        <f>SUMIFS('SALES REPORT'!$G$2:$G1000,'SALES REPORT'!$E$2:$E1000,D$4,'SALES REPORT'!$F$2:$F1000,$B29)</f>
        <v>2</v>
      </c>
      <c r="E29" s="29">
        <f>SUMIFS('SALES REPORT'!$G$2:$G1000,'SALES REPORT'!$E$2:$E1000,E$4,'SALES REPORT'!$F$2:$F1000,$B29)</f>
        <v>0</v>
      </c>
      <c r="F29" s="29">
        <f>SUMIFS('SALES REPORT'!$G$2:$G1000,'SALES REPORT'!$E$2:$E1000,F$4,'SALES REPORT'!$F$2:$F1000,$B29)</f>
        <v>0</v>
      </c>
      <c r="G29" s="29">
        <f>SUMIFS('SALES REPORT'!$G$2:$G1000,'SALES REPORT'!$E$2:$E1000,G$4,'SALES REPORT'!$F$2:$F1000,$B29)</f>
        <v>0</v>
      </c>
      <c r="H29" s="29">
        <f>SUMIFS('SALES REPORT'!$G$2:$G1000,'SALES REPORT'!$E$2:$E1000,H$4,'SALES REPORT'!$F$2:$F1000,$B29)</f>
        <v>0</v>
      </c>
      <c r="I29" s="29">
        <f>SUMIFS('SALES REPORT'!$G$2:$G1000,'SALES REPORT'!$E$2:$E1000,I$4,'SALES REPORT'!$F$2:$F1000,$B29)</f>
        <v>0</v>
      </c>
      <c r="J29" s="29">
        <f>SUMIFS('SALES REPORT'!$G$2:$G1000,'SALES REPORT'!$E$2:$E1000,J$4,'SALES REPORT'!$F$2:$F1000,$B29)</f>
        <v>0</v>
      </c>
      <c r="K29" s="29">
        <f>SUMIFS('SALES REPORT'!$G$2:$G1000,'SALES REPORT'!$E$2:$E1000,K$4,'SALES REPORT'!$F$2:$F1000,$B29)</f>
        <v>0</v>
      </c>
      <c r="L29" s="29">
        <f>SUMIFS('SALES REPORT'!$G$2:$G1000,'SALES REPORT'!$E$2:$E1000,L$4,'SALES REPORT'!$F$2:$F1000,$B29)</f>
        <v>0</v>
      </c>
      <c r="M29" s="29">
        <f>SUMIFS('SALES REPORT'!$G$2:$G1000,'SALES REPORT'!$E$2:$E1000,M$4,'SALES REPORT'!$F$2:$F1000,$B29)</f>
        <v>0</v>
      </c>
      <c r="N29" s="29">
        <f>SUMIFS('SALES REPORT'!$G$2:$G1000,'SALES REPORT'!$E$2:$E1000,N$4,'SALES REPORT'!$F$2:$F1000,$B29)</f>
        <v>0</v>
      </c>
      <c r="O29" s="29">
        <f>SUMIFS('SALES REPORT'!$G$2:$G1000,'SALES REPORT'!$E$2:$E1000,O$4,'SALES REPORT'!$F$2:$F1000,$B29)</f>
        <v>0</v>
      </c>
      <c r="P29" s="29">
        <f>SUMIFS('SALES REPORT'!$G$2:$G1000,'SALES REPORT'!$E$2:$E1000,P$4,'SALES REPORT'!$F$2:$F1000,$B29)</f>
        <v>0</v>
      </c>
      <c r="Q29" s="29">
        <f>SUMIFS('SALES REPORT'!$G$2:$G1000,'SALES REPORT'!$E$2:$E1000,Q$4,'SALES REPORT'!$F$2:$F1000,$B29)</f>
        <v>0</v>
      </c>
      <c r="R29" s="29">
        <f>SUMIFS('SALES REPORT'!$G$2:$G1000,'SALES REPORT'!$E$2:$E1000,R$4,'SALES REPORT'!$F$2:$F1000,$B29)</f>
        <v>0</v>
      </c>
    </row>
    <row r="30">
      <c r="B30" s="29" t="s">
        <v>123</v>
      </c>
      <c r="C30" s="29">
        <f>SUMIFS('SALES REPORT'!$G$2:$G1000,'SALES REPORT'!$E$2:$E1000,C$4,'SALES REPORT'!$F$2:$F1000,$B30)</f>
        <v>0</v>
      </c>
      <c r="D30" s="29">
        <f>SUMIFS('SALES REPORT'!$G$2:$G1000,'SALES REPORT'!$E$2:$E1000,D$4,'SALES REPORT'!$F$2:$F1000,$B30)</f>
        <v>3</v>
      </c>
      <c r="E30" s="29">
        <f>SUMIFS('SALES REPORT'!$G$2:$G1000,'SALES REPORT'!$E$2:$E1000,E$4,'SALES REPORT'!$F$2:$F1000,$B30)</f>
        <v>0</v>
      </c>
      <c r="F30" s="29">
        <f>SUMIFS('SALES REPORT'!$G$2:$G1000,'SALES REPORT'!$E$2:$E1000,F$4,'SALES REPORT'!$F$2:$F1000,$B30)</f>
        <v>0</v>
      </c>
      <c r="G30" s="29">
        <f>SUMIFS('SALES REPORT'!$G$2:$G1000,'SALES REPORT'!$E$2:$E1000,G$4,'SALES REPORT'!$F$2:$F1000,$B30)</f>
        <v>9</v>
      </c>
      <c r="H30" s="29">
        <f>SUMIFS('SALES REPORT'!$G$2:$G1000,'SALES REPORT'!$E$2:$E1000,H$4,'SALES REPORT'!$F$2:$F1000,$B30)</f>
        <v>1</v>
      </c>
      <c r="I30" s="29">
        <f>SUMIFS('SALES REPORT'!$G$2:$G1000,'SALES REPORT'!$E$2:$E1000,I$4,'SALES REPORT'!$F$2:$F1000,$B30)</f>
        <v>0</v>
      </c>
      <c r="J30" s="29">
        <f>SUMIFS('SALES REPORT'!$G$2:$G1000,'SALES REPORT'!$E$2:$E1000,J$4,'SALES REPORT'!$F$2:$F1000,$B30)</f>
        <v>0</v>
      </c>
      <c r="K30" s="29">
        <f>SUMIFS('SALES REPORT'!$G$2:$G1000,'SALES REPORT'!$E$2:$E1000,K$4,'SALES REPORT'!$F$2:$F1000,$B30)</f>
        <v>0</v>
      </c>
      <c r="L30" s="29">
        <f>SUMIFS('SALES REPORT'!$G$2:$G1000,'SALES REPORT'!$E$2:$E1000,L$4,'SALES REPORT'!$F$2:$F1000,$B30)</f>
        <v>0</v>
      </c>
      <c r="M30" s="29">
        <f>SUMIFS('SALES REPORT'!$G$2:$G1000,'SALES REPORT'!$E$2:$E1000,M$4,'SALES REPORT'!$F$2:$F1000,$B30)</f>
        <v>0</v>
      </c>
      <c r="N30" s="29">
        <f>SUMIFS('SALES REPORT'!$G$2:$G1000,'SALES REPORT'!$E$2:$E1000,N$4,'SALES REPORT'!$F$2:$F1000,$B30)</f>
        <v>0</v>
      </c>
      <c r="O30" s="29">
        <f>SUMIFS('SALES REPORT'!$G$2:$G1000,'SALES REPORT'!$E$2:$E1000,O$4,'SALES REPORT'!$F$2:$F1000,$B30)</f>
        <v>3</v>
      </c>
      <c r="P30" s="29">
        <f>SUMIFS('SALES REPORT'!$G$2:$G1000,'SALES REPORT'!$E$2:$E1000,P$4,'SALES REPORT'!$F$2:$F1000,$B30)</f>
        <v>4</v>
      </c>
      <c r="Q30" s="29">
        <f>SUMIFS('SALES REPORT'!$G$2:$G1000,'SALES REPORT'!$E$2:$E1000,Q$4,'SALES REPORT'!$F$2:$F1000,$B30)</f>
        <v>0</v>
      </c>
      <c r="R30" s="29">
        <f>SUMIFS('SALES REPORT'!$G$2:$G1000,'SALES REPORT'!$E$2:$E1000,R$4,'SALES REPORT'!$F$2:$F1000,$B30)</f>
        <v>1</v>
      </c>
    </row>
    <row r="31">
      <c r="B31" s="18" t="s">
        <v>195</v>
      </c>
      <c r="C31" s="29">
        <f>SUMIFS('SALES REPORT'!$G$2:$G1000,'SALES REPORT'!$E$2:$E1000,C$4,'SALES REPORT'!$F$2:$F1000,$B31)</f>
        <v>0</v>
      </c>
      <c r="D31" s="29">
        <f>SUMIFS('SALES REPORT'!$G$2:$G1000,'SALES REPORT'!$E$2:$E1000,D$4,'SALES REPORT'!$F$2:$F1000,$B31)</f>
        <v>1</v>
      </c>
      <c r="E31" s="29">
        <f>SUMIFS('SALES REPORT'!$G$2:$G1000,'SALES REPORT'!$E$2:$E1000,E$4,'SALES REPORT'!$F$2:$F1000,$B31)</f>
        <v>0</v>
      </c>
      <c r="F31" s="29">
        <f>SUMIFS('SALES REPORT'!$G$2:$G1000,'SALES REPORT'!$E$2:$E1000,F$4,'SALES REPORT'!$F$2:$F1000,$B31)</f>
        <v>0</v>
      </c>
      <c r="G31" s="29">
        <f>SUMIFS('SALES REPORT'!$G$2:$G1000,'SALES REPORT'!$E$2:$E1000,G$4,'SALES REPORT'!$F$2:$F1000,$B31)</f>
        <v>0</v>
      </c>
      <c r="H31" s="29">
        <f>SUMIFS('SALES REPORT'!$G$2:$G1000,'SALES REPORT'!$E$2:$E1000,H$4,'SALES REPORT'!$F$2:$F1000,$B31)</f>
        <v>0</v>
      </c>
      <c r="I31" s="29">
        <f>SUMIFS('SALES REPORT'!$G$2:$G1000,'SALES REPORT'!$E$2:$E1000,I$4,'SALES REPORT'!$F$2:$F1000,$B31)</f>
        <v>0</v>
      </c>
      <c r="J31" s="29">
        <f>SUMIFS('SALES REPORT'!$G$2:$G1000,'SALES REPORT'!$E$2:$E1000,J$4,'SALES REPORT'!$F$2:$F1000,$B31)</f>
        <v>0</v>
      </c>
      <c r="K31" s="29">
        <f>SUMIFS('SALES REPORT'!$G$2:$G1000,'SALES REPORT'!$E$2:$E1000,K$4,'SALES REPORT'!$F$2:$F1000,$B31)</f>
        <v>0</v>
      </c>
      <c r="L31" s="29">
        <f>SUMIFS('SALES REPORT'!$G$2:$G1000,'SALES REPORT'!$E$2:$E1000,L$4,'SALES REPORT'!$F$2:$F1000,$B31)</f>
        <v>0</v>
      </c>
      <c r="M31" s="29">
        <f>SUMIFS('SALES REPORT'!$G$2:$G1000,'SALES REPORT'!$E$2:$E1000,M$4,'SALES REPORT'!$F$2:$F1000,$B31)</f>
        <v>0</v>
      </c>
      <c r="N31" s="29">
        <f>SUMIFS('SALES REPORT'!$G$2:$G1000,'SALES REPORT'!$E$2:$E1000,N$4,'SALES REPORT'!$F$2:$F1000,$B31)</f>
        <v>0</v>
      </c>
      <c r="O31" s="29">
        <f>SUMIFS('SALES REPORT'!$G$2:$G1000,'SALES REPORT'!$E$2:$E1000,O$4,'SALES REPORT'!$F$2:$F1000,$B31)</f>
        <v>0</v>
      </c>
      <c r="P31" s="29">
        <f>SUMIFS('SALES REPORT'!$G$2:$G1000,'SALES REPORT'!$E$2:$E1000,P$4,'SALES REPORT'!$F$2:$F1000,$B31)</f>
        <v>0</v>
      </c>
      <c r="Q31" s="29">
        <f>SUMIFS('SALES REPORT'!$G$2:$G1000,'SALES REPORT'!$E$2:$E1000,Q$4,'SALES REPORT'!$F$2:$F1000,$B31)</f>
        <v>0</v>
      </c>
      <c r="R31" s="29">
        <f>SUMIFS('SALES REPORT'!$G$2:$G1000,'SALES REPORT'!$E$2:$E1000,R$4,'SALES REPORT'!$F$2:$F1000,$B31)</f>
        <v>0</v>
      </c>
    </row>
    <row r="32">
      <c r="B32" s="18" t="s">
        <v>239</v>
      </c>
      <c r="C32" s="29">
        <f>SUMIFS('SALES REPORT'!$G$2:$G1000,'SALES REPORT'!$E$2:$E1000,C$4,'SALES REPORT'!$F$2:$F1000,$B32)</f>
        <v>0</v>
      </c>
      <c r="D32" s="29">
        <f>SUMIFS('SALES REPORT'!$G$2:$G1000,'SALES REPORT'!$E$2:$E1000,D$4,'SALES REPORT'!$F$2:$F1000,$B32)</f>
        <v>0</v>
      </c>
      <c r="E32" s="29">
        <f>SUMIFS('SALES REPORT'!$G$2:$G1000,'SALES REPORT'!$E$2:$E1000,E$4,'SALES REPORT'!$F$2:$F1000,$B32)</f>
        <v>0</v>
      </c>
      <c r="F32" s="29">
        <f>SUMIFS('SALES REPORT'!$G$2:$G1000,'SALES REPORT'!$E$2:$E1000,F$4,'SALES REPORT'!$F$2:$F1000,$B32)</f>
        <v>0</v>
      </c>
      <c r="G32" s="29">
        <f>SUMIFS('SALES REPORT'!$G$2:$G1000,'SALES REPORT'!$E$2:$E1000,G$4,'SALES REPORT'!$F$2:$F1000,$B32)</f>
        <v>0</v>
      </c>
      <c r="H32" s="29">
        <f>SUMIFS('SALES REPORT'!$G$2:$G1000,'SALES REPORT'!$E$2:$E1000,H$4,'SALES REPORT'!$F$2:$F1000,$B32)</f>
        <v>0</v>
      </c>
      <c r="I32" s="29">
        <f>SUMIFS('SALES REPORT'!$G$2:$G1000,'SALES REPORT'!$E$2:$E1000,I$4,'SALES REPORT'!$F$2:$F1000,$B32)</f>
        <v>0</v>
      </c>
      <c r="J32" s="29">
        <f>SUMIFS('SALES REPORT'!$G$2:$G1000,'SALES REPORT'!$E$2:$E1000,J$4,'SALES REPORT'!$F$2:$F1000,$B32)</f>
        <v>0</v>
      </c>
      <c r="K32" s="29">
        <f>SUMIFS('SALES REPORT'!$G$2:$G1000,'SALES REPORT'!$E$2:$E1000,K$4,'SALES REPORT'!$F$2:$F1000,$B32)</f>
        <v>0</v>
      </c>
      <c r="L32" s="29">
        <f>SUMIFS('SALES REPORT'!$G$2:$G1000,'SALES REPORT'!$E$2:$E1000,L$4,'SALES REPORT'!$F$2:$F1000,$B32)</f>
        <v>0</v>
      </c>
      <c r="M32" s="29">
        <f>SUMIFS('SALES REPORT'!$G$2:$G1000,'SALES REPORT'!$E$2:$E1000,M$4,'SALES REPORT'!$F$2:$F1000,$B32)</f>
        <v>0</v>
      </c>
      <c r="N32" s="29">
        <f>SUMIFS('SALES REPORT'!$G$2:$G1000,'SALES REPORT'!$E$2:$E1000,N$4,'SALES REPORT'!$F$2:$F1000,$B32)</f>
        <v>1</v>
      </c>
      <c r="O32" s="29">
        <f>SUMIFS('SALES REPORT'!$G$2:$G1000,'SALES REPORT'!$E$2:$E1000,O$4,'SALES REPORT'!$F$2:$F1000,$B32)</f>
        <v>0</v>
      </c>
      <c r="P32" s="29">
        <f>SUMIFS('SALES REPORT'!$G$2:$G1000,'SALES REPORT'!$E$2:$E1000,P$4,'SALES REPORT'!$F$2:$F1000,$B32)</f>
        <v>0</v>
      </c>
      <c r="Q32" s="29">
        <f>SUMIFS('SALES REPORT'!$G$2:$G1000,'SALES REPORT'!$E$2:$E1000,Q$4,'SALES REPORT'!$F$2:$F1000,$B32)</f>
        <v>0</v>
      </c>
      <c r="R32" s="29">
        <f>SUMIFS('SALES REPORT'!$G$2:$G1000,'SALES REPORT'!$E$2:$E1000,R$4,'SALES REPORT'!$F$2:$F1000,$B32)</f>
        <v>0</v>
      </c>
    </row>
    <row r="33">
      <c r="B33" s="18" t="s">
        <v>85</v>
      </c>
      <c r="C33" s="29">
        <f>SUMIFS('SALES REPORT'!$G$2:$G1000,'SALES REPORT'!$E$2:$E1000,C$4,'SALES REPORT'!$F$2:$F1000,$B33)</f>
        <v>0</v>
      </c>
      <c r="D33" s="29">
        <f>SUMIFS('SALES REPORT'!$G$2:$G1000,'SALES REPORT'!$E$2:$E1000,D$4,'SALES REPORT'!$F$2:$F1000,$B33)</f>
        <v>0</v>
      </c>
      <c r="E33" s="29">
        <f>SUMIFS('SALES REPORT'!$G$2:$G1000,'SALES REPORT'!$E$2:$E1000,E$4,'SALES REPORT'!$F$2:$F1000,$B33)</f>
        <v>0</v>
      </c>
      <c r="F33" s="29">
        <f>SUMIFS('SALES REPORT'!$G$2:$G1000,'SALES REPORT'!$E$2:$E1000,F$4,'SALES REPORT'!$F$2:$F1000,$B33)</f>
        <v>0</v>
      </c>
      <c r="G33" s="29">
        <f>SUMIFS('SALES REPORT'!$G$2:$G1000,'SALES REPORT'!$E$2:$E1000,G$4,'SALES REPORT'!$F$2:$F1000,$B33)</f>
        <v>0</v>
      </c>
      <c r="H33" s="29">
        <f>SUMIFS('SALES REPORT'!$G$2:$G1000,'SALES REPORT'!$E$2:$E1000,H$4,'SALES REPORT'!$F$2:$F1000,$B33)</f>
        <v>0</v>
      </c>
      <c r="I33" s="29">
        <f>SUMIFS('SALES REPORT'!$G$2:$G1000,'SALES REPORT'!$E$2:$E1000,I$4,'SALES REPORT'!$F$2:$F1000,$B33)</f>
        <v>0</v>
      </c>
      <c r="J33" s="29">
        <f>SUMIFS('SALES REPORT'!$G$2:$G1000,'SALES REPORT'!$E$2:$E1000,J$4,'SALES REPORT'!$F$2:$F1000,$B33)</f>
        <v>0</v>
      </c>
      <c r="K33" s="29">
        <f>SUMIFS('SALES REPORT'!$G$2:$G1000,'SALES REPORT'!$E$2:$E1000,K$4,'SALES REPORT'!$F$2:$F1000,$B33)</f>
        <v>0</v>
      </c>
      <c r="L33" s="29">
        <f>SUMIFS('SALES REPORT'!$G$2:$G1000,'SALES REPORT'!$E$2:$E1000,L$4,'SALES REPORT'!$F$2:$F1000,$B33)</f>
        <v>0</v>
      </c>
      <c r="M33" s="29">
        <f>SUMIFS('SALES REPORT'!$G$2:$G1000,'SALES REPORT'!$E$2:$E1000,M$4,'SALES REPORT'!$F$2:$F1000,$B33)</f>
        <v>0</v>
      </c>
      <c r="N33" s="29">
        <f>SUMIFS('SALES REPORT'!$G$2:$G1000,'SALES REPORT'!$E$2:$E1000,N$4,'SALES REPORT'!$F$2:$F1000,$B33)</f>
        <v>0</v>
      </c>
      <c r="O33" s="29">
        <f>SUMIFS('SALES REPORT'!$G$2:$G1000,'SALES REPORT'!$E$2:$E1000,O$4,'SALES REPORT'!$F$2:$F1000,$B33)</f>
        <v>0</v>
      </c>
      <c r="P33" s="29">
        <f>SUMIFS('SALES REPORT'!$G$2:$G1000,'SALES REPORT'!$E$2:$E1000,P$4,'SALES REPORT'!$F$2:$F1000,$B33)</f>
        <v>0</v>
      </c>
      <c r="Q33" s="29">
        <f>SUMIFS('SALES REPORT'!$G$2:$G1000,'SALES REPORT'!$E$2:$E1000,Q$4,'SALES REPORT'!$F$2:$F1000,$B33)</f>
        <v>2</v>
      </c>
      <c r="R33" s="29">
        <f>SUMIFS('SALES REPORT'!$G$2:$G1000,'SALES REPORT'!$E$2:$E1000,R$4,'SALES REPORT'!$F$2:$F1000,$B33)</f>
        <v>0</v>
      </c>
    </row>
    <row r="34">
      <c r="B34" s="18" t="s">
        <v>116</v>
      </c>
      <c r="C34" s="29">
        <f>SUMIFS('SALES REPORT'!$G$2:$G1000,'SALES REPORT'!$E$2:$E1000,C$4,'SALES REPORT'!$F$2:$F1000,$B34)</f>
        <v>0</v>
      </c>
      <c r="D34" s="29">
        <f>SUMIFS('SALES REPORT'!$G$2:$G1000,'SALES REPORT'!$E$2:$E1000,D$4,'SALES REPORT'!$F$2:$F1000,$B34)</f>
        <v>0</v>
      </c>
      <c r="E34" s="29">
        <f>SUMIFS('SALES REPORT'!$G$2:$G1000,'SALES REPORT'!$E$2:$E1000,E$4,'SALES REPORT'!$F$2:$F1000,$B34)</f>
        <v>0</v>
      </c>
      <c r="F34" s="29">
        <f>SUMIFS('SALES REPORT'!$G$2:$G1000,'SALES REPORT'!$E$2:$E1000,F$4,'SALES REPORT'!$F$2:$F1000,$B34)</f>
        <v>0</v>
      </c>
      <c r="G34" s="29">
        <f>SUMIFS('SALES REPORT'!$G$2:$G1000,'SALES REPORT'!$E$2:$E1000,G$4,'SALES REPORT'!$F$2:$F1000,$B34)</f>
        <v>1</v>
      </c>
      <c r="H34" s="29">
        <f>SUMIFS('SALES REPORT'!$G$2:$G1000,'SALES REPORT'!$E$2:$E1000,H$4,'SALES REPORT'!$F$2:$F1000,$B34)</f>
        <v>0</v>
      </c>
      <c r="I34" s="29">
        <f>SUMIFS('SALES REPORT'!$G$2:$G1000,'SALES REPORT'!$E$2:$E1000,I$4,'SALES REPORT'!$F$2:$F1000,$B34)</f>
        <v>0</v>
      </c>
      <c r="J34" s="29">
        <f>SUMIFS('SALES REPORT'!$G$2:$G1000,'SALES REPORT'!$E$2:$E1000,J$4,'SALES REPORT'!$F$2:$F1000,$B34)</f>
        <v>0</v>
      </c>
      <c r="K34" s="29">
        <f>SUMIFS('SALES REPORT'!$G$2:$G1000,'SALES REPORT'!$E$2:$E1000,K$4,'SALES REPORT'!$F$2:$F1000,$B34)</f>
        <v>0</v>
      </c>
      <c r="L34" s="29">
        <f>SUMIFS('SALES REPORT'!$G$2:$G1000,'SALES REPORT'!$E$2:$E1000,L$4,'SALES REPORT'!$F$2:$F1000,$B34)</f>
        <v>0</v>
      </c>
      <c r="M34" s="29">
        <f>SUMIFS('SALES REPORT'!$G$2:$G1000,'SALES REPORT'!$E$2:$E1000,M$4,'SALES REPORT'!$F$2:$F1000,$B34)</f>
        <v>0</v>
      </c>
      <c r="N34" s="29">
        <f>SUMIFS('SALES REPORT'!$G$2:$G1000,'SALES REPORT'!$E$2:$E1000,N$4,'SALES REPORT'!$F$2:$F1000,$B34)</f>
        <v>0</v>
      </c>
      <c r="O34" s="29">
        <f>SUMIFS('SALES REPORT'!$G$2:$G1000,'SALES REPORT'!$E$2:$E1000,O$4,'SALES REPORT'!$F$2:$F1000,$B34)</f>
        <v>0</v>
      </c>
      <c r="P34" s="29">
        <f>SUMIFS('SALES REPORT'!$G$2:$G1000,'SALES REPORT'!$E$2:$E1000,P$4,'SALES REPORT'!$F$2:$F1000,$B34)</f>
        <v>0</v>
      </c>
      <c r="Q34" s="29">
        <f>SUMIFS('SALES REPORT'!$G$2:$G1000,'SALES REPORT'!$E$2:$E1000,Q$4,'SALES REPORT'!$F$2:$F1000,$B34)</f>
        <v>0</v>
      </c>
      <c r="R34" s="29">
        <f>SUMIFS('SALES REPORT'!$G$2:$G1000,'SALES REPORT'!$E$2:$E1000,R$4,'SALES REPORT'!$F$2:$F1000,$B34)</f>
        <v>0</v>
      </c>
    </row>
    <row r="35">
      <c r="B35" s="18" t="s">
        <v>243</v>
      </c>
      <c r="C35" s="29">
        <f>SUMIFS('SALES REPORT'!$G$2:$G1000,'SALES REPORT'!$E$2:$E1000,C$4,'SALES REPORT'!$F$2:$F1000,$B35)</f>
        <v>0</v>
      </c>
      <c r="D35" s="29">
        <f>SUMIFS('SALES REPORT'!$G$2:$G1000,'SALES REPORT'!$E$2:$E1000,D$4,'SALES REPORT'!$F$2:$F1000,$B35)</f>
        <v>0</v>
      </c>
      <c r="E35" s="29">
        <f>SUMIFS('SALES REPORT'!$G$2:$G1000,'SALES REPORT'!$E$2:$E1000,E$4,'SALES REPORT'!$F$2:$F1000,$B35)</f>
        <v>0</v>
      </c>
      <c r="F35" s="29">
        <f>SUMIFS('SALES REPORT'!$G$2:$G1000,'SALES REPORT'!$E$2:$E1000,F$4,'SALES REPORT'!$F$2:$F1000,$B35)</f>
        <v>0</v>
      </c>
      <c r="G35" s="29">
        <f>SUMIFS('SALES REPORT'!$G$2:$G1000,'SALES REPORT'!$E$2:$E1000,G$4,'SALES REPORT'!$F$2:$F1000,$B35)</f>
        <v>0</v>
      </c>
      <c r="H35" s="29">
        <f>SUMIFS('SALES REPORT'!$G$2:$G1000,'SALES REPORT'!$E$2:$E1000,H$4,'SALES REPORT'!$F$2:$F1000,$B35)</f>
        <v>0</v>
      </c>
      <c r="I35" s="29">
        <f>SUMIFS('SALES REPORT'!$G$2:$G1000,'SALES REPORT'!$E$2:$E1000,I$4,'SALES REPORT'!$F$2:$F1000,$B35)</f>
        <v>1</v>
      </c>
      <c r="J35" s="29">
        <f>SUMIFS('SALES REPORT'!$G$2:$G1000,'SALES REPORT'!$E$2:$E1000,J$4,'SALES REPORT'!$F$2:$F1000,$B35)</f>
        <v>0</v>
      </c>
      <c r="K35" s="29">
        <f>SUMIFS('SALES REPORT'!$G$2:$G1000,'SALES REPORT'!$E$2:$E1000,K$4,'SALES REPORT'!$F$2:$F1000,$B35)</f>
        <v>0</v>
      </c>
      <c r="L35" s="29">
        <f>SUMIFS('SALES REPORT'!$G$2:$G1000,'SALES REPORT'!$E$2:$E1000,L$4,'SALES REPORT'!$F$2:$F1000,$B35)</f>
        <v>0</v>
      </c>
      <c r="M35" s="29">
        <f>SUMIFS('SALES REPORT'!$G$2:$G1000,'SALES REPORT'!$E$2:$E1000,M$4,'SALES REPORT'!$F$2:$F1000,$B35)</f>
        <v>0</v>
      </c>
      <c r="N35" s="29">
        <f>SUMIFS('SALES REPORT'!$G$2:$G1000,'SALES REPORT'!$E$2:$E1000,N$4,'SALES REPORT'!$F$2:$F1000,$B35)</f>
        <v>0</v>
      </c>
      <c r="O35" s="29">
        <f>SUMIFS('SALES REPORT'!$G$2:$G1000,'SALES REPORT'!$E$2:$E1000,O$4,'SALES REPORT'!$F$2:$F1000,$B35)</f>
        <v>0</v>
      </c>
      <c r="P35" s="29">
        <f>SUMIFS('SALES REPORT'!$G$2:$G1000,'SALES REPORT'!$E$2:$E1000,P$4,'SALES REPORT'!$F$2:$F1000,$B35)</f>
        <v>0</v>
      </c>
      <c r="Q35" s="29">
        <f>SUMIFS('SALES REPORT'!$G$2:$G1000,'SALES REPORT'!$E$2:$E1000,Q$4,'SALES REPORT'!$F$2:$F1000,$B35)</f>
        <v>0</v>
      </c>
      <c r="R35" s="29">
        <f>SUMIFS('SALES REPORT'!$G$2:$G1000,'SALES REPORT'!$E$2:$E1000,R$4,'SALES REPORT'!$F$2:$F1000,$B35)</f>
        <v>0</v>
      </c>
    </row>
    <row r="36">
      <c r="B36" s="29" t="s">
        <v>244</v>
      </c>
      <c r="C36" s="29">
        <f>SUMIFS('SALES REPORT'!$G$2:$G1000,'SALES REPORT'!$E$2:$E1000,C$4,'SALES REPORT'!$F$2:$F1000,$B36)</f>
        <v>0</v>
      </c>
      <c r="D36" s="29">
        <f>SUMIFS('SALES REPORT'!$G$2:$G1000,'SALES REPORT'!$E$2:$E1000,D$4,'SALES REPORT'!$F$2:$F1000,$B36)</f>
        <v>0</v>
      </c>
      <c r="E36" s="29">
        <f>SUMIFS('SALES REPORT'!$G$2:$G1000,'SALES REPORT'!$E$2:$E1000,E$4,'SALES REPORT'!$F$2:$F1000,$B36)</f>
        <v>0</v>
      </c>
      <c r="F36" s="29">
        <f>SUMIFS('SALES REPORT'!$G$2:$G1000,'SALES REPORT'!$E$2:$E1000,F$4,'SALES REPORT'!$F$2:$F1000,$B36)</f>
        <v>0</v>
      </c>
      <c r="G36" s="29">
        <f>SUMIFS('SALES REPORT'!$G$2:$G1000,'SALES REPORT'!$E$2:$E1000,G$4,'SALES REPORT'!$F$2:$F1000,$B36)</f>
        <v>0</v>
      </c>
      <c r="H36" s="29">
        <f>SUMIFS('SALES REPORT'!$G$2:$G1000,'SALES REPORT'!$E$2:$E1000,H$4,'SALES REPORT'!$F$2:$F1000,$B36)</f>
        <v>0</v>
      </c>
      <c r="I36" s="29">
        <f>SUMIFS('SALES REPORT'!$G$2:$G1000,'SALES REPORT'!$E$2:$E1000,I$4,'SALES REPORT'!$F$2:$F1000,$B36)</f>
        <v>0</v>
      </c>
      <c r="J36" s="29">
        <f>SUMIFS('SALES REPORT'!$G$2:$G1000,'SALES REPORT'!$E$2:$E1000,J$4,'SALES REPORT'!$F$2:$F1000,$B36)</f>
        <v>0</v>
      </c>
      <c r="K36" s="29">
        <f>SUMIFS('SALES REPORT'!$G$2:$G1000,'SALES REPORT'!$E$2:$E1000,K$4,'SALES REPORT'!$F$2:$F1000,$B36)</f>
        <v>0</v>
      </c>
      <c r="L36" s="29">
        <f>SUMIFS('SALES REPORT'!$G$2:$G1000,'SALES REPORT'!$E$2:$E1000,L$4,'SALES REPORT'!$F$2:$F1000,$B36)</f>
        <v>0</v>
      </c>
      <c r="M36" s="29">
        <f>SUMIFS('SALES REPORT'!$G$2:$G1000,'SALES REPORT'!$E$2:$E1000,M$4,'SALES REPORT'!$F$2:$F1000,$B36)</f>
        <v>0</v>
      </c>
      <c r="N36" s="29">
        <f>SUMIFS('SALES REPORT'!$G$2:$G1000,'SALES REPORT'!$E$2:$E1000,N$4,'SALES REPORT'!$F$2:$F1000,$B36)</f>
        <v>0</v>
      </c>
      <c r="O36" s="29">
        <f>SUMIFS('SALES REPORT'!$G$2:$G1000,'SALES REPORT'!$E$2:$E1000,O$4,'SALES REPORT'!$F$2:$F1000,$B36)</f>
        <v>0</v>
      </c>
      <c r="P36" s="29">
        <f>SUMIFS('SALES REPORT'!$G$2:$G1000,'SALES REPORT'!$E$2:$E1000,P$4,'SALES REPORT'!$F$2:$F1000,$B36)</f>
        <v>0</v>
      </c>
      <c r="Q36" s="29">
        <f>SUMIFS('SALES REPORT'!$G$2:$G1000,'SALES REPORT'!$E$2:$E1000,Q$4,'SALES REPORT'!$F$2:$F1000,$B36)</f>
        <v>0</v>
      </c>
      <c r="R36" s="29">
        <f>SUMIFS('SALES REPORT'!$G$2:$G1000,'SALES REPORT'!$E$2:$E1000,R$4,'SALES REPORT'!$F$2:$F1000,$B36)</f>
        <v>1</v>
      </c>
    </row>
    <row r="37">
      <c r="B37" s="18" t="s">
        <v>245</v>
      </c>
      <c r="C37" s="29">
        <f>SUMIFS('SALES REPORT'!$G$2:$G1000,'SALES REPORT'!$E$2:$E1000,C$4,'SALES REPORT'!$F$2:$F1000,$B37)</f>
        <v>0</v>
      </c>
      <c r="D37" s="29">
        <f>SUMIFS('SALES REPORT'!$G$2:$G1000,'SALES REPORT'!$E$2:$E1000,D$4,'SALES REPORT'!$F$2:$F1000,$B37)</f>
        <v>0</v>
      </c>
      <c r="E37" s="29">
        <f>SUMIFS('SALES REPORT'!$G$2:$G1000,'SALES REPORT'!$E$2:$E1000,E$4,'SALES REPORT'!$F$2:$F1000,$B37)</f>
        <v>0</v>
      </c>
      <c r="F37" s="29">
        <f>SUMIFS('SALES REPORT'!$G$2:$G1000,'SALES REPORT'!$E$2:$E1000,F$4,'SALES REPORT'!$F$2:$F1000,$B37)</f>
        <v>0</v>
      </c>
      <c r="G37" s="29">
        <f>SUMIFS('SALES REPORT'!$G$2:$G1000,'SALES REPORT'!$E$2:$E1000,G$4,'SALES REPORT'!$F$2:$F1000,$B37)</f>
        <v>0</v>
      </c>
      <c r="H37" s="29">
        <f>SUMIFS('SALES REPORT'!$G$2:$G1000,'SALES REPORT'!$E$2:$E1000,H$4,'SALES REPORT'!$F$2:$F1000,$B37)</f>
        <v>0</v>
      </c>
      <c r="I37" s="29">
        <f>SUMIFS('SALES REPORT'!$G$2:$G1000,'SALES REPORT'!$E$2:$E1000,I$4,'SALES REPORT'!$F$2:$F1000,$B37)</f>
        <v>2</v>
      </c>
      <c r="J37" s="29">
        <f>SUMIFS('SALES REPORT'!$G$2:$G1000,'SALES REPORT'!$E$2:$E1000,J$4,'SALES REPORT'!$F$2:$F1000,$B37)</f>
        <v>0</v>
      </c>
      <c r="K37" s="29">
        <f>SUMIFS('SALES REPORT'!$G$2:$G1000,'SALES REPORT'!$E$2:$E1000,K$4,'SALES REPORT'!$F$2:$F1000,$B37)</f>
        <v>0</v>
      </c>
      <c r="L37" s="29">
        <f>SUMIFS('SALES REPORT'!$G$2:$G1000,'SALES REPORT'!$E$2:$E1000,L$4,'SALES REPORT'!$F$2:$F1000,$B37)</f>
        <v>0</v>
      </c>
      <c r="M37" s="29">
        <f>SUMIFS('SALES REPORT'!$G$2:$G1000,'SALES REPORT'!$E$2:$E1000,M$4,'SALES REPORT'!$F$2:$F1000,$B37)</f>
        <v>0</v>
      </c>
      <c r="N37" s="29">
        <f>SUMIFS('SALES REPORT'!$G$2:$G1000,'SALES REPORT'!$E$2:$E1000,N$4,'SALES REPORT'!$F$2:$F1000,$B37)</f>
        <v>0</v>
      </c>
      <c r="O37" s="29">
        <f>SUMIFS('SALES REPORT'!$G$2:$G1000,'SALES REPORT'!$E$2:$E1000,O$4,'SALES REPORT'!$F$2:$F1000,$B37)</f>
        <v>0</v>
      </c>
      <c r="P37" s="29">
        <f>SUMIFS('SALES REPORT'!$G$2:$G1000,'SALES REPORT'!$E$2:$E1000,P$4,'SALES REPORT'!$F$2:$F1000,$B37)</f>
        <v>0</v>
      </c>
      <c r="Q37" s="29">
        <f>SUMIFS('SALES REPORT'!$G$2:$G1000,'SALES REPORT'!$E$2:$E1000,Q$4,'SALES REPORT'!$F$2:$F1000,$B37)</f>
        <v>0</v>
      </c>
      <c r="R37" s="29">
        <f>SUMIFS('SALES REPORT'!$G$2:$G1000,'SALES REPORT'!$E$2:$E1000,R$4,'SALES REPORT'!$F$2:$F1000,$B37)</f>
        <v>0</v>
      </c>
    </row>
    <row r="38">
      <c r="B38" s="29" t="s">
        <v>246</v>
      </c>
      <c r="C38" s="29">
        <f>SUMIFS('SALES REPORT'!$G$2:$G1000,'SALES REPORT'!$E$2:$E1000,C$4,'SALES REPORT'!$F$2:$F1000,$B38)</f>
        <v>0</v>
      </c>
      <c r="D38" s="29">
        <f>SUMIFS('SALES REPORT'!$G$2:$G1000,'SALES REPORT'!$E$2:$E1000,D$4,'SALES REPORT'!$F$2:$F1000,$B38)</f>
        <v>0</v>
      </c>
      <c r="E38" s="29">
        <f>SUMIFS('SALES REPORT'!$G$2:$G1000,'SALES REPORT'!$E$2:$E1000,E$4,'SALES REPORT'!$F$2:$F1000,$B38)</f>
        <v>1</v>
      </c>
      <c r="F38" s="29">
        <f>SUMIFS('SALES REPORT'!$G$2:$G1000,'SALES REPORT'!$E$2:$E1000,F$4,'SALES REPORT'!$F$2:$F1000,$B38)</f>
        <v>0</v>
      </c>
      <c r="G38" s="29">
        <f>SUMIFS('SALES REPORT'!$G$2:$G1000,'SALES REPORT'!$E$2:$E1000,G$4,'SALES REPORT'!$F$2:$F1000,$B38)</f>
        <v>0</v>
      </c>
      <c r="H38" s="29">
        <f>SUMIFS('SALES REPORT'!$G$2:$G1000,'SALES REPORT'!$E$2:$E1000,H$4,'SALES REPORT'!$F$2:$F1000,$B38)</f>
        <v>0</v>
      </c>
      <c r="I38" s="29">
        <f>SUMIFS('SALES REPORT'!$G$2:$G1000,'SALES REPORT'!$E$2:$E1000,I$4,'SALES REPORT'!$F$2:$F1000,$B38)</f>
        <v>0</v>
      </c>
      <c r="J38" s="29">
        <f>SUMIFS('SALES REPORT'!$G$2:$G1000,'SALES REPORT'!$E$2:$E1000,J$4,'SALES REPORT'!$F$2:$F1000,$B38)</f>
        <v>0</v>
      </c>
      <c r="K38" s="29">
        <f>SUMIFS('SALES REPORT'!$G$2:$G1000,'SALES REPORT'!$E$2:$E1000,K$4,'SALES REPORT'!$F$2:$F1000,$B38)</f>
        <v>0</v>
      </c>
      <c r="L38" s="29">
        <f>SUMIFS('SALES REPORT'!$G$2:$G1000,'SALES REPORT'!$E$2:$E1000,L$4,'SALES REPORT'!$F$2:$F1000,$B38)</f>
        <v>0</v>
      </c>
      <c r="M38" s="29">
        <f>SUMIFS('SALES REPORT'!$G$2:$G1000,'SALES REPORT'!$E$2:$E1000,M$4,'SALES REPORT'!$F$2:$F1000,$B38)</f>
        <v>0</v>
      </c>
      <c r="N38" s="29">
        <f>SUMIFS('SALES REPORT'!$G$2:$G1000,'SALES REPORT'!$E$2:$E1000,N$4,'SALES REPORT'!$F$2:$F1000,$B38)</f>
        <v>0</v>
      </c>
      <c r="O38" s="29">
        <f>SUMIFS('SALES REPORT'!$G$2:$G1000,'SALES REPORT'!$E$2:$E1000,O$4,'SALES REPORT'!$F$2:$F1000,$B38)</f>
        <v>0</v>
      </c>
      <c r="P38" s="29">
        <f>SUMIFS('SALES REPORT'!$G$2:$G1000,'SALES REPORT'!$E$2:$E1000,P$4,'SALES REPORT'!$F$2:$F1000,$B38)</f>
        <v>0</v>
      </c>
      <c r="Q38" s="29">
        <f>SUMIFS('SALES REPORT'!$G$2:$G1000,'SALES REPORT'!$E$2:$E1000,Q$4,'SALES REPORT'!$F$2:$F1000,$B38)</f>
        <v>0</v>
      </c>
      <c r="R38" s="29">
        <f>SUMIFS('SALES REPORT'!$G$2:$G1000,'SALES REPORT'!$E$2:$E1000,R$4,'SALES REPORT'!$F$2:$F1000,$B38)</f>
        <v>0</v>
      </c>
    </row>
    <row r="39">
      <c r="B39" s="18" t="s">
        <v>248</v>
      </c>
      <c r="C39" s="29">
        <f>SUMIFS('SALES REPORT'!$G$2:$G1000,'SALES REPORT'!$E$2:$E1000,C$4,'SALES REPORT'!$F$2:$F1000,$B39)</f>
        <v>1</v>
      </c>
      <c r="D39" s="29">
        <f>SUMIFS('SALES REPORT'!$G$2:$G1000,'SALES REPORT'!$E$2:$E1000,D$4,'SALES REPORT'!$F$2:$F1000,$B39)</f>
        <v>0</v>
      </c>
      <c r="E39" s="29">
        <f>SUMIFS('SALES REPORT'!$G$2:$G1000,'SALES REPORT'!$E$2:$E1000,E$4,'SALES REPORT'!$F$2:$F1000,$B39)</f>
        <v>0</v>
      </c>
      <c r="F39" s="29">
        <f>SUMIFS('SALES REPORT'!$G$2:$G1000,'SALES REPORT'!$E$2:$E1000,F$4,'SALES REPORT'!$F$2:$F1000,$B39)</f>
        <v>0</v>
      </c>
      <c r="G39" s="29">
        <f>SUMIFS('SALES REPORT'!$G$2:$G1000,'SALES REPORT'!$E$2:$E1000,G$4,'SALES REPORT'!$F$2:$F1000,$B39)</f>
        <v>2</v>
      </c>
      <c r="H39" s="29">
        <f>SUMIFS('SALES REPORT'!$G$2:$G1000,'SALES REPORT'!$E$2:$E1000,H$4,'SALES REPORT'!$F$2:$F1000,$B39)</f>
        <v>0</v>
      </c>
      <c r="I39" s="29">
        <f>SUMIFS('SALES REPORT'!$G$2:$G1000,'SALES REPORT'!$E$2:$E1000,I$4,'SALES REPORT'!$F$2:$F1000,$B39)</f>
        <v>0</v>
      </c>
      <c r="J39" s="29">
        <f>SUMIFS('SALES REPORT'!$G$2:$G1000,'SALES REPORT'!$E$2:$E1000,J$4,'SALES REPORT'!$F$2:$F1000,$B39)</f>
        <v>0</v>
      </c>
      <c r="K39" s="29">
        <f>SUMIFS('SALES REPORT'!$G$2:$G1000,'SALES REPORT'!$E$2:$E1000,K$4,'SALES REPORT'!$F$2:$F1000,$B39)</f>
        <v>0</v>
      </c>
      <c r="L39" s="29">
        <f>SUMIFS('SALES REPORT'!$G$2:$G1000,'SALES REPORT'!$E$2:$E1000,L$4,'SALES REPORT'!$F$2:$F1000,$B39)</f>
        <v>0</v>
      </c>
      <c r="M39" s="29">
        <f>SUMIFS('SALES REPORT'!$G$2:$G1000,'SALES REPORT'!$E$2:$E1000,M$4,'SALES REPORT'!$F$2:$F1000,$B39)</f>
        <v>0</v>
      </c>
      <c r="N39" s="29">
        <f>SUMIFS('SALES REPORT'!$G$2:$G1000,'SALES REPORT'!$E$2:$E1000,N$4,'SALES REPORT'!$F$2:$F1000,$B39)</f>
        <v>0</v>
      </c>
      <c r="O39" s="29">
        <f>SUMIFS('SALES REPORT'!$G$2:$G1000,'SALES REPORT'!$E$2:$E1000,O$4,'SALES REPORT'!$F$2:$F1000,$B39)</f>
        <v>0</v>
      </c>
      <c r="P39" s="29">
        <f>SUMIFS('SALES REPORT'!$G$2:$G1000,'SALES REPORT'!$E$2:$E1000,P$4,'SALES REPORT'!$F$2:$F1000,$B39)</f>
        <v>0</v>
      </c>
      <c r="Q39" s="29">
        <f>SUMIFS('SALES REPORT'!$G$2:$G1000,'SALES REPORT'!$E$2:$E1000,Q$4,'SALES REPORT'!$F$2:$F1000,$B39)</f>
        <v>0</v>
      </c>
      <c r="R39" s="29">
        <f>SUMIFS('SALES REPORT'!$G$2:$G1000,'SALES REPORT'!$E$2:$E1000,R$4,'SALES REPORT'!$F$2:$F1000,$B39)</f>
        <v>1</v>
      </c>
    </row>
    <row r="40">
      <c r="B40" s="29" t="s">
        <v>249</v>
      </c>
      <c r="C40" s="29">
        <f>SUMIFS('SALES REPORT'!$G$2:$G1000,'SALES REPORT'!$E$2:$E1000,C$4,'SALES REPORT'!$F$2:$F1000,$B40)</f>
        <v>0</v>
      </c>
      <c r="D40" s="29">
        <f>SUMIFS('SALES REPORT'!$G$2:$G1000,'SALES REPORT'!$E$2:$E1000,D$4,'SALES REPORT'!$F$2:$F1000,$B40)</f>
        <v>0</v>
      </c>
      <c r="E40" s="29">
        <f>SUMIFS('SALES REPORT'!$G$2:$G1000,'SALES REPORT'!$E$2:$E1000,E$4,'SALES REPORT'!$F$2:$F1000,$B40)</f>
        <v>0</v>
      </c>
      <c r="F40" s="29">
        <f>SUMIFS('SALES REPORT'!$G$2:$G1000,'SALES REPORT'!$E$2:$E1000,F$4,'SALES REPORT'!$F$2:$F1000,$B40)</f>
        <v>0</v>
      </c>
      <c r="G40" s="29">
        <f>SUMIFS('SALES REPORT'!$G$2:$G1000,'SALES REPORT'!$E$2:$E1000,G$4,'SALES REPORT'!$F$2:$F1000,$B40)</f>
        <v>3</v>
      </c>
      <c r="H40" s="29">
        <f>SUMIFS('SALES REPORT'!$G$2:$G1000,'SALES REPORT'!$E$2:$E1000,H$4,'SALES REPORT'!$F$2:$F1000,$B40)</f>
        <v>0</v>
      </c>
      <c r="I40" s="29">
        <f>SUMIFS('SALES REPORT'!$G$2:$G1000,'SALES REPORT'!$E$2:$E1000,I$4,'SALES REPORT'!$F$2:$F1000,$B40)</f>
        <v>0</v>
      </c>
      <c r="J40" s="29">
        <f>SUMIFS('SALES REPORT'!$G$2:$G1000,'SALES REPORT'!$E$2:$E1000,J$4,'SALES REPORT'!$F$2:$F1000,$B40)</f>
        <v>0</v>
      </c>
      <c r="K40" s="29">
        <f>SUMIFS('SALES REPORT'!$G$2:$G1000,'SALES REPORT'!$E$2:$E1000,K$4,'SALES REPORT'!$F$2:$F1000,$B40)</f>
        <v>0</v>
      </c>
      <c r="L40" s="29">
        <f>SUMIFS('SALES REPORT'!$G$2:$G1000,'SALES REPORT'!$E$2:$E1000,L$4,'SALES REPORT'!$F$2:$F1000,$B40)</f>
        <v>0</v>
      </c>
      <c r="M40" s="29">
        <f>SUMIFS('SALES REPORT'!$G$2:$G1000,'SALES REPORT'!$E$2:$E1000,M$4,'SALES REPORT'!$F$2:$F1000,$B40)</f>
        <v>0</v>
      </c>
      <c r="N40" s="29">
        <f>SUMIFS('SALES REPORT'!$G$2:$G1000,'SALES REPORT'!$E$2:$E1000,N$4,'SALES REPORT'!$F$2:$F1000,$B40)</f>
        <v>0</v>
      </c>
      <c r="O40" s="29">
        <f>SUMIFS('SALES REPORT'!$G$2:$G1000,'SALES REPORT'!$E$2:$E1000,O$4,'SALES REPORT'!$F$2:$F1000,$B40)</f>
        <v>0</v>
      </c>
      <c r="P40" s="29">
        <f>SUMIFS('SALES REPORT'!$G$2:$G1000,'SALES REPORT'!$E$2:$E1000,P$4,'SALES REPORT'!$F$2:$F1000,$B40)</f>
        <v>0</v>
      </c>
      <c r="Q40" s="29">
        <f>SUMIFS('SALES REPORT'!$G$2:$G1000,'SALES REPORT'!$E$2:$E1000,Q$4,'SALES REPORT'!$F$2:$F1000,$B40)</f>
        <v>0</v>
      </c>
      <c r="R40" s="29">
        <f>SUMIFS('SALES REPORT'!$G$2:$G1000,'SALES REPORT'!$E$2:$E1000,R$4,'SALES REPORT'!$F$2:$F1000,$B40)</f>
        <v>0</v>
      </c>
    </row>
    <row r="41">
      <c r="B41" s="18" t="s">
        <v>250</v>
      </c>
      <c r="C41" s="29">
        <f>SUMIFS('SALES REPORT'!$G$2:$G1000,'SALES REPORT'!$E$2:$E1000,C$4,'SALES REPORT'!$F$2:$F1000,$B41)</f>
        <v>0</v>
      </c>
      <c r="D41" s="29">
        <f>SUMIFS('SALES REPORT'!$G$2:$G1000,'SALES REPORT'!$E$2:$E1000,D$4,'SALES REPORT'!$F$2:$F1000,$B41)</f>
        <v>0</v>
      </c>
      <c r="E41" s="29">
        <f>SUMIFS('SALES REPORT'!$G$2:$G1000,'SALES REPORT'!$E$2:$E1000,E$4,'SALES REPORT'!$F$2:$F1000,$B41)</f>
        <v>0</v>
      </c>
      <c r="F41" s="29">
        <f>SUMIFS('SALES REPORT'!$G$2:$G1000,'SALES REPORT'!$E$2:$E1000,F$4,'SALES REPORT'!$F$2:$F1000,$B41)</f>
        <v>0</v>
      </c>
      <c r="G41" s="29">
        <f>SUMIFS('SALES REPORT'!$G$2:$G1000,'SALES REPORT'!$E$2:$E1000,G$4,'SALES REPORT'!$F$2:$F1000,$B41)</f>
        <v>1</v>
      </c>
      <c r="H41" s="29">
        <f>SUMIFS('SALES REPORT'!$G$2:$G1000,'SALES REPORT'!$E$2:$E1000,H$4,'SALES REPORT'!$F$2:$F1000,$B41)</f>
        <v>0</v>
      </c>
      <c r="I41" s="29">
        <f>SUMIFS('SALES REPORT'!$G$2:$G1000,'SALES REPORT'!$E$2:$E1000,I$4,'SALES REPORT'!$F$2:$F1000,$B41)</f>
        <v>0</v>
      </c>
      <c r="J41" s="29">
        <f>SUMIFS('SALES REPORT'!$G$2:$G1000,'SALES REPORT'!$E$2:$E1000,J$4,'SALES REPORT'!$F$2:$F1000,$B41)</f>
        <v>0</v>
      </c>
      <c r="K41" s="29">
        <f>SUMIFS('SALES REPORT'!$G$2:$G1000,'SALES REPORT'!$E$2:$E1000,K$4,'SALES REPORT'!$F$2:$F1000,$B41)</f>
        <v>0</v>
      </c>
      <c r="L41" s="29">
        <f>SUMIFS('SALES REPORT'!$G$2:$G1000,'SALES REPORT'!$E$2:$E1000,L$4,'SALES REPORT'!$F$2:$F1000,$B41)</f>
        <v>0</v>
      </c>
      <c r="M41" s="29">
        <f>SUMIFS('SALES REPORT'!$G$2:$G1000,'SALES REPORT'!$E$2:$E1000,M$4,'SALES REPORT'!$F$2:$F1000,$B41)</f>
        <v>0</v>
      </c>
      <c r="N41" s="29">
        <f>SUMIFS('SALES REPORT'!$G$2:$G1000,'SALES REPORT'!$E$2:$E1000,N$4,'SALES REPORT'!$F$2:$F1000,$B41)</f>
        <v>0</v>
      </c>
      <c r="O41" s="29">
        <f>SUMIFS('SALES REPORT'!$G$2:$G1000,'SALES REPORT'!$E$2:$E1000,O$4,'SALES REPORT'!$F$2:$F1000,$B41)</f>
        <v>0</v>
      </c>
      <c r="P41" s="29">
        <f>SUMIFS('SALES REPORT'!$G$2:$G1000,'SALES REPORT'!$E$2:$E1000,P$4,'SALES REPORT'!$F$2:$F1000,$B41)</f>
        <v>0</v>
      </c>
      <c r="Q41" s="29">
        <f>SUMIFS('SALES REPORT'!$G$2:$G1000,'SALES REPORT'!$E$2:$E1000,Q$4,'SALES REPORT'!$F$2:$F1000,$B41)</f>
        <v>0</v>
      </c>
      <c r="R41" s="29">
        <f>SUMIFS('SALES REPORT'!$G$2:$G1000,'SALES REPORT'!$E$2:$E1000,R$4,'SALES REPORT'!$F$2:$F1000,$B41)</f>
        <v>0</v>
      </c>
    </row>
    <row r="42">
      <c r="B42" s="18" t="s">
        <v>97</v>
      </c>
      <c r="C42" s="29">
        <f>SUMIFS('SALES REPORT'!$G$2:$G1000,'SALES REPORT'!$E$2:$E1000,C$4,'SALES REPORT'!$F$2:$F1000,$B42)</f>
        <v>0</v>
      </c>
      <c r="D42" s="29">
        <f>SUMIFS('SALES REPORT'!$G$2:$G1000,'SALES REPORT'!$E$2:$E1000,D$4,'SALES REPORT'!$F$2:$F1000,$B42)</f>
        <v>0</v>
      </c>
      <c r="E42" s="29">
        <f>SUMIFS('SALES REPORT'!$G$2:$G1000,'SALES REPORT'!$E$2:$E1000,E$4,'SALES REPORT'!$F$2:$F1000,$B42)</f>
        <v>0</v>
      </c>
      <c r="F42" s="29">
        <f>SUMIFS('SALES REPORT'!$G$2:$G1000,'SALES REPORT'!$E$2:$E1000,F$4,'SALES REPORT'!$F$2:$F1000,$B42)</f>
        <v>0</v>
      </c>
      <c r="G42" s="29">
        <f>SUMIFS('SALES REPORT'!$G$2:$G1000,'SALES REPORT'!$E$2:$E1000,G$4,'SALES REPORT'!$F$2:$F1000,$B42)</f>
        <v>2</v>
      </c>
      <c r="H42" s="29">
        <f>SUMIFS('SALES REPORT'!$G$2:$G1000,'SALES REPORT'!$E$2:$E1000,H$4,'SALES REPORT'!$F$2:$F1000,$B42)</f>
        <v>0</v>
      </c>
      <c r="I42" s="29">
        <f>SUMIFS('SALES REPORT'!$G$2:$G1000,'SALES REPORT'!$E$2:$E1000,I$4,'SALES REPORT'!$F$2:$F1000,$B42)</f>
        <v>0</v>
      </c>
      <c r="J42" s="29">
        <f>SUMIFS('SALES REPORT'!$G$2:$G1000,'SALES REPORT'!$E$2:$E1000,J$4,'SALES REPORT'!$F$2:$F1000,$B42)</f>
        <v>0</v>
      </c>
      <c r="K42" s="29">
        <f>SUMIFS('SALES REPORT'!$G$2:$G1000,'SALES REPORT'!$E$2:$E1000,K$4,'SALES REPORT'!$F$2:$F1000,$B42)</f>
        <v>0</v>
      </c>
      <c r="L42" s="29">
        <f>SUMIFS('SALES REPORT'!$G$2:$G1000,'SALES REPORT'!$E$2:$E1000,L$4,'SALES REPORT'!$F$2:$F1000,$B42)</f>
        <v>0</v>
      </c>
      <c r="M42" s="29">
        <f>SUMIFS('SALES REPORT'!$G$2:$G1000,'SALES REPORT'!$E$2:$E1000,M$4,'SALES REPORT'!$F$2:$F1000,$B42)</f>
        <v>0</v>
      </c>
      <c r="N42" s="29">
        <f>SUMIFS('SALES REPORT'!$G$2:$G1000,'SALES REPORT'!$E$2:$E1000,N$4,'SALES REPORT'!$F$2:$F1000,$B42)</f>
        <v>0</v>
      </c>
      <c r="O42" s="29">
        <f>SUMIFS('SALES REPORT'!$G$2:$G1000,'SALES REPORT'!$E$2:$E1000,O$4,'SALES REPORT'!$F$2:$F1000,$B42)</f>
        <v>1</v>
      </c>
      <c r="P42" s="29">
        <f>SUMIFS('SALES REPORT'!$G$2:$G1000,'SALES REPORT'!$E$2:$E1000,P$4,'SALES REPORT'!$F$2:$F1000,$B42)</f>
        <v>0</v>
      </c>
      <c r="Q42" s="29">
        <f>SUMIFS('SALES REPORT'!$G$2:$G1000,'SALES REPORT'!$E$2:$E1000,Q$4,'SALES REPORT'!$F$2:$F1000,$B42)</f>
        <v>0</v>
      </c>
      <c r="R42" s="29">
        <f>SUMIFS('SALES REPORT'!$G$2:$G1000,'SALES REPORT'!$E$2:$E1000,R$4,'SALES REPORT'!$F$2:$F1000,$B42)</f>
        <v>0</v>
      </c>
    </row>
    <row r="43">
      <c r="B43" s="18" t="s">
        <v>251</v>
      </c>
      <c r="C43" s="29">
        <f>SUMIFS('SALES REPORT'!$G$2:$G1000,'SALES REPORT'!$E$2:$E1000,C$4,'SALES REPORT'!$F$2:$F1000,$B43)</f>
        <v>0</v>
      </c>
      <c r="D43" s="29">
        <f>SUMIFS('SALES REPORT'!$G$2:$G1000,'SALES REPORT'!$E$2:$E1000,D$4,'SALES REPORT'!$F$2:$F1000,$B43)</f>
        <v>0</v>
      </c>
      <c r="E43" s="29">
        <f>SUMIFS('SALES REPORT'!$G$2:$G1000,'SALES REPORT'!$E$2:$E1000,E$4,'SALES REPORT'!$F$2:$F1000,$B43)</f>
        <v>1</v>
      </c>
      <c r="F43" s="29">
        <f>SUMIFS('SALES REPORT'!$G$2:$G1000,'SALES REPORT'!$E$2:$E1000,F$4,'SALES REPORT'!$F$2:$F1000,$B43)</f>
        <v>0</v>
      </c>
      <c r="G43" s="29">
        <f>SUMIFS('SALES REPORT'!$G$2:$G1000,'SALES REPORT'!$E$2:$E1000,G$4,'SALES REPORT'!$F$2:$F1000,$B43)</f>
        <v>0</v>
      </c>
      <c r="H43" s="29">
        <f>SUMIFS('SALES REPORT'!$G$2:$G1000,'SALES REPORT'!$E$2:$E1000,H$4,'SALES REPORT'!$F$2:$F1000,$B43)</f>
        <v>0</v>
      </c>
      <c r="I43" s="29">
        <f>SUMIFS('SALES REPORT'!$G$2:$G1000,'SALES REPORT'!$E$2:$E1000,I$4,'SALES REPORT'!$F$2:$F1000,$B43)</f>
        <v>0</v>
      </c>
      <c r="J43" s="29">
        <f>SUMIFS('SALES REPORT'!$G$2:$G1000,'SALES REPORT'!$E$2:$E1000,J$4,'SALES REPORT'!$F$2:$F1000,$B43)</f>
        <v>0</v>
      </c>
      <c r="K43" s="29">
        <f>SUMIFS('SALES REPORT'!$G$2:$G1000,'SALES REPORT'!$E$2:$E1000,K$4,'SALES REPORT'!$F$2:$F1000,$B43)</f>
        <v>0</v>
      </c>
      <c r="L43" s="29">
        <f>SUMIFS('SALES REPORT'!$G$2:$G1000,'SALES REPORT'!$E$2:$E1000,L$4,'SALES REPORT'!$F$2:$F1000,$B43)</f>
        <v>0</v>
      </c>
      <c r="M43" s="29">
        <f>SUMIFS('SALES REPORT'!$G$2:$G1000,'SALES REPORT'!$E$2:$E1000,M$4,'SALES REPORT'!$F$2:$F1000,$B43)</f>
        <v>0</v>
      </c>
      <c r="N43" s="29">
        <f>SUMIFS('SALES REPORT'!$G$2:$G1000,'SALES REPORT'!$E$2:$E1000,N$4,'SALES REPORT'!$F$2:$F1000,$B43)</f>
        <v>0</v>
      </c>
      <c r="O43" s="29">
        <f>SUMIFS('SALES REPORT'!$G$2:$G1000,'SALES REPORT'!$E$2:$E1000,O$4,'SALES REPORT'!$F$2:$F1000,$B43)</f>
        <v>0</v>
      </c>
      <c r="P43" s="29">
        <f>SUMIFS('SALES REPORT'!$G$2:$G1000,'SALES REPORT'!$E$2:$E1000,P$4,'SALES REPORT'!$F$2:$F1000,$B43)</f>
        <v>0</v>
      </c>
      <c r="Q43" s="29">
        <f>SUMIFS('SALES REPORT'!$G$2:$G1000,'SALES REPORT'!$E$2:$E1000,Q$4,'SALES REPORT'!$F$2:$F1000,$B43)</f>
        <v>0</v>
      </c>
      <c r="R43" s="29">
        <f>SUMIFS('SALES REPORT'!$G$2:$G1000,'SALES REPORT'!$E$2:$E1000,R$4,'SALES REPORT'!$F$2:$F1000,$B43)</f>
        <v>0</v>
      </c>
    </row>
    <row r="44">
      <c r="B44" s="18" t="s">
        <v>253</v>
      </c>
      <c r="C44" s="29">
        <f>SUMIFS('SALES REPORT'!$G$2:$G1000,'SALES REPORT'!$E$2:$E1000,C$4,'SALES REPORT'!$F$2:$F1000,$B44)</f>
        <v>0</v>
      </c>
      <c r="D44" s="29">
        <f>SUMIFS('SALES REPORT'!$G$2:$G1000,'SALES REPORT'!$E$2:$E1000,D$4,'SALES REPORT'!$F$2:$F1000,$B44)</f>
        <v>1</v>
      </c>
      <c r="E44" s="29">
        <f>SUMIFS('SALES REPORT'!$G$2:$G1000,'SALES REPORT'!$E$2:$E1000,E$4,'SALES REPORT'!$F$2:$F1000,$B44)</f>
        <v>0</v>
      </c>
      <c r="F44" s="29">
        <f>SUMIFS('SALES REPORT'!$G$2:$G1000,'SALES REPORT'!$E$2:$E1000,F$4,'SALES REPORT'!$F$2:$F1000,$B44)</f>
        <v>0</v>
      </c>
      <c r="G44" s="29">
        <f>SUMIFS('SALES REPORT'!$G$2:$G1000,'SALES REPORT'!$E$2:$E1000,G$4,'SALES REPORT'!$F$2:$F1000,$B44)</f>
        <v>0</v>
      </c>
      <c r="H44" s="29">
        <f>SUMIFS('SALES REPORT'!$G$2:$G1000,'SALES REPORT'!$E$2:$E1000,H$4,'SALES REPORT'!$F$2:$F1000,$B44)</f>
        <v>0</v>
      </c>
      <c r="I44" s="29">
        <f>SUMIFS('SALES REPORT'!$G$2:$G1000,'SALES REPORT'!$E$2:$E1000,I$4,'SALES REPORT'!$F$2:$F1000,$B44)</f>
        <v>0</v>
      </c>
      <c r="J44" s="29">
        <f>SUMIFS('SALES REPORT'!$G$2:$G1000,'SALES REPORT'!$E$2:$E1000,J$4,'SALES REPORT'!$F$2:$F1000,$B44)</f>
        <v>0</v>
      </c>
      <c r="K44" s="29">
        <f>SUMIFS('SALES REPORT'!$G$2:$G1000,'SALES REPORT'!$E$2:$E1000,K$4,'SALES REPORT'!$F$2:$F1000,$B44)</f>
        <v>0</v>
      </c>
      <c r="L44" s="29">
        <f>SUMIFS('SALES REPORT'!$G$2:$G1000,'SALES REPORT'!$E$2:$E1000,L$4,'SALES REPORT'!$F$2:$F1000,$B44)</f>
        <v>0</v>
      </c>
      <c r="M44" s="29">
        <f>SUMIFS('SALES REPORT'!$G$2:$G1000,'SALES REPORT'!$E$2:$E1000,M$4,'SALES REPORT'!$F$2:$F1000,$B44)</f>
        <v>0</v>
      </c>
      <c r="N44" s="29">
        <f>SUMIFS('SALES REPORT'!$G$2:$G1000,'SALES REPORT'!$E$2:$E1000,N$4,'SALES REPORT'!$F$2:$F1000,$B44)</f>
        <v>0</v>
      </c>
      <c r="O44" s="29">
        <f>SUMIFS('SALES REPORT'!$G$2:$G1000,'SALES REPORT'!$E$2:$E1000,O$4,'SALES REPORT'!$F$2:$F1000,$B44)</f>
        <v>0</v>
      </c>
      <c r="P44" s="29">
        <f>SUMIFS('SALES REPORT'!$G$2:$G1000,'SALES REPORT'!$E$2:$E1000,P$4,'SALES REPORT'!$F$2:$F1000,$B44)</f>
        <v>0</v>
      </c>
      <c r="Q44" s="29">
        <f>SUMIFS('SALES REPORT'!$G$2:$G1000,'SALES REPORT'!$E$2:$E1000,Q$4,'SALES REPORT'!$F$2:$F1000,$B44)</f>
        <v>0</v>
      </c>
      <c r="R44" s="29">
        <f>SUMIFS('SALES REPORT'!$G$2:$G1000,'SALES REPORT'!$E$2:$E1000,R$4,'SALES REPORT'!$F$2:$F1000,$B44)</f>
        <v>0</v>
      </c>
    </row>
    <row r="45">
      <c r="B45" s="18" t="s">
        <v>254</v>
      </c>
      <c r="C45" s="29">
        <f>SUMIFS('SALES REPORT'!$G$2:$G1000,'SALES REPORT'!$E$2:$E1000,C$4,'SALES REPORT'!$F$2:$F1000,$B45)</f>
        <v>0</v>
      </c>
      <c r="D45" s="29">
        <f>SUMIFS('SALES REPORT'!$G$2:$G1000,'SALES REPORT'!$E$2:$E1000,D$4,'SALES REPORT'!$F$2:$F1000,$B45)</f>
        <v>1</v>
      </c>
      <c r="E45" s="29">
        <f>SUMIFS('SALES REPORT'!$G$2:$G1000,'SALES REPORT'!$E$2:$E1000,E$4,'SALES REPORT'!$F$2:$F1000,$B45)</f>
        <v>0</v>
      </c>
      <c r="F45" s="29">
        <f>SUMIFS('SALES REPORT'!$G$2:$G1000,'SALES REPORT'!$E$2:$E1000,F$4,'SALES REPORT'!$F$2:$F1000,$B45)</f>
        <v>0</v>
      </c>
      <c r="G45" s="29">
        <f>SUMIFS('SALES REPORT'!$G$2:$G1000,'SALES REPORT'!$E$2:$E1000,G$4,'SALES REPORT'!$F$2:$F1000,$B45)</f>
        <v>0</v>
      </c>
      <c r="H45" s="29">
        <f>SUMIFS('SALES REPORT'!$G$2:$G1000,'SALES REPORT'!$E$2:$E1000,H$4,'SALES REPORT'!$F$2:$F1000,$B45)</f>
        <v>0</v>
      </c>
      <c r="I45" s="29">
        <f>SUMIFS('SALES REPORT'!$G$2:$G1000,'SALES REPORT'!$E$2:$E1000,I$4,'SALES REPORT'!$F$2:$F1000,$B45)</f>
        <v>0</v>
      </c>
      <c r="J45" s="29">
        <f>SUMIFS('SALES REPORT'!$G$2:$G1000,'SALES REPORT'!$E$2:$E1000,J$4,'SALES REPORT'!$F$2:$F1000,$B45)</f>
        <v>0</v>
      </c>
      <c r="K45" s="29">
        <f>SUMIFS('SALES REPORT'!$G$2:$G1000,'SALES REPORT'!$E$2:$E1000,K$4,'SALES REPORT'!$F$2:$F1000,$B45)</f>
        <v>0</v>
      </c>
      <c r="L45" s="29">
        <f>SUMIFS('SALES REPORT'!$G$2:$G1000,'SALES REPORT'!$E$2:$E1000,L$4,'SALES REPORT'!$F$2:$F1000,$B45)</f>
        <v>0</v>
      </c>
      <c r="M45" s="29">
        <f>SUMIFS('SALES REPORT'!$G$2:$G1000,'SALES REPORT'!$E$2:$E1000,M$4,'SALES REPORT'!$F$2:$F1000,$B45)</f>
        <v>0</v>
      </c>
      <c r="N45" s="29">
        <f>SUMIFS('SALES REPORT'!$G$2:$G1000,'SALES REPORT'!$E$2:$E1000,N$4,'SALES REPORT'!$F$2:$F1000,$B45)</f>
        <v>0</v>
      </c>
      <c r="O45" s="29">
        <f>SUMIFS('SALES REPORT'!$G$2:$G1000,'SALES REPORT'!$E$2:$E1000,O$4,'SALES REPORT'!$F$2:$F1000,$B45)</f>
        <v>0</v>
      </c>
      <c r="P45" s="29">
        <f>SUMIFS('SALES REPORT'!$G$2:$G1000,'SALES REPORT'!$E$2:$E1000,P$4,'SALES REPORT'!$F$2:$F1000,$B45)</f>
        <v>0</v>
      </c>
      <c r="Q45" s="29">
        <f>SUMIFS('SALES REPORT'!$G$2:$G1000,'SALES REPORT'!$E$2:$E1000,Q$4,'SALES REPORT'!$F$2:$F1000,$B45)</f>
        <v>0</v>
      </c>
      <c r="R45" s="29">
        <f>SUMIFS('SALES REPORT'!$G$2:$G1000,'SALES REPORT'!$E$2:$E1000,R$4,'SALES REPORT'!$F$2:$F1000,$B45)</f>
        <v>0</v>
      </c>
    </row>
    <row r="46">
      <c r="B46" s="18" t="s">
        <v>255</v>
      </c>
      <c r="C46" s="29">
        <f>SUMIFS('SALES REPORT'!$G$2:$G1000,'SALES REPORT'!$E$2:$E1000,C$4,'SALES REPORT'!$F$2:$F1000,$B46)</f>
        <v>0</v>
      </c>
      <c r="D46" s="29">
        <f>SUMIFS('SALES REPORT'!$G$2:$G1000,'SALES REPORT'!$E$2:$E1000,D$4,'SALES REPORT'!$F$2:$F1000,$B46)</f>
        <v>2</v>
      </c>
      <c r="E46" s="29">
        <f>SUMIFS('SALES REPORT'!$G$2:$G1000,'SALES REPORT'!$E$2:$E1000,E$4,'SALES REPORT'!$F$2:$F1000,$B46)</f>
        <v>0</v>
      </c>
      <c r="F46" s="29">
        <f>SUMIFS('SALES REPORT'!$G$2:$G1000,'SALES REPORT'!$E$2:$E1000,F$4,'SALES REPORT'!$F$2:$F1000,$B46)</f>
        <v>0</v>
      </c>
      <c r="G46" s="29">
        <f>SUMIFS('SALES REPORT'!$G$2:$G1000,'SALES REPORT'!$E$2:$E1000,G$4,'SALES REPORT'!$F$2:$F1000,$B46)</f>
        <v>0</v>
      </c>
      <c r="H46" s="29">
        <f>SUMIFS('SALES REPORT'!$G$2:$G1000,'SALES REPORT'!$E$2:$E1000,H$4,'SALES REPORT'!$F$2:$F1000,$B46)</f>
        <v>0</v>
      </c>
      <c r="I46" s="29">
        <f>SUMIFS('SALES REPORT'!$G$2:$G1000,'SALES REPORT'!$E$2:$E1000,I$4,'SALES REPORT'!$F$2:$F1000,$B46)</f>
        <v>0</v>
      </c>
      <c r="J46" s="29">
        <f>SUMIFS('SALES REPORT'!$G$2:$G1000,'SALES REPORT'!$E$2:$E1000,J$4,'SALES REPORT'!$F$2:$F1000,$B46)</f>
        <v>0</v>
      </c>
      <c r="K46" s="29">
        <f>SUMIFS('SALES REPORT'!$G$2:$G1000,'SALES REPORT'!$E$2:$E1000,K$4,'SALES REPORT'!$F$2:$F1000,$B46)</f>
        <v>0</v>
      </c>
      <c r="L46" s="29">
        <f>SUMIFS('SALES REPORT'!$G$2:$G1000,'SALES REPORT'!$E$2:$E1000,L$4,'SALES REPORT'!$F$2:$F1000,$B46)</f>
        <v>0</v>
      </c>
      <c r="M46" s="29">
        <f>SUMIFS('SALES REPORT'!$G$2:$G1000,'SALES REPORT'!$E$2:$E1000,M$4,'SALES REPORT'!$F$2:$F1000,$B46)</f>
        <v>0</v>
      </c>
      <c r="N46" s="29">
        <f>SUMIFS('SALES REPORT'!$G$2:$G1000,'SALES REPORT'!$E$2:$E1000,N$4,'SALES REPORT'!$F$2:$F1000,$B46)</f>
        <v>0</v>
      </c>
      <c r="O46" s="29">
        <f>SUMIFS('SALES REPORT'!$G$2:$G1000,'SALES REPORT'!$E$2:$E1000,O$4,'SALES REPORT'!$F$2:$F1000,$B46)</f>
        <v>0</v>
      </c>
      <c r="P46" s="29">
        <f>SUMIFS('SALES REPORT'!$G$2:$G1000,'SALES REPORT'!$E$2:$E1000,P$4,'SALES REPORT'!$F$2:$F1000,$B46)</f>
        <v>0</v>
      </c>
      <c r="Q46" s="29">
        <f>SUMIFS('SALES REPORT'!$G$2:$G1000,'SALES REPORT'!$E$2:$E1000,Q$4,'SALES REPORT'!$F$2:$F1000,$B46)</f>
        <v>0</v>
      </c>
      <c r="R46" s="29">
        <f>SUMIFS('SALES REPORT'!$G$2:$G1000,'SALES REPORT'!$E$2:$E1000,R$4,'SALES REPORT'!$F$2:$F1000,$B46)</f>
        <v>0</v>
      </c>
    </row>
    <row r="47">
      <c r="B47" s="18" t="s">
        <v>257</v>
      </c>
      <c r="C47" s="29">
        <f>SUMIFS('SALES REPORT'!$G$2:$G1000,'SALES REPORT'!$E$2:$E1000,C$4,'SALES REPORT'!$F$2:$F1000,$B47)</f>
        <v>0</v>
      </c>
      <c r="D47" s="29">
        <f>SUMIFS('SALES REPORT'!$G$2:$G1000,'SALES REPORT'!$E$2:$E1000,D$4,'SALES REPORT'!$F$2:$F1000,$B47)</f>
        <v>0</v>
      </c>
      <c r="E47" s="29">
        <f>SUMIFS('SALES REPORT'!$G$2:$G1000,'SALES REPORT'!$E$2:$E1000,E$4,'SALES REPORT'!$F$2:$F1000,$B47)</f>
        <v>0</v>
      </c>
      <c r="F47" s="29">
        <f>SUMIFS('SALES REPORT'!$G$2:$G1000,'SALES REPORT'!$E$2:$E1000,F$4,'SALES REPORT'!$F$2:$F1000,$B47)</f>
        <v>0</v>
      </c>
      <c r="G47" s="29">
        <f>SUMIFS('SALES REPORT'!$G$2:$G1000,'SALES REPORT'!$E$2:$E1000,G$4,'SALES REPORT'!$F$2:$F1000,$B47)</f>
        <v>1</v>
      </c>
      <c r="H47" s="29">
        <f>SUMIFS('SALES REPORT'!$G$2:$G1000,'SALES REPORT'!$E$2:$E1000,H$4,'SALES REPORT'!$F$2:$F1000,$B47)</f>
        <v>0</v>
      </c>
      <c r="I47" s="29">
        <f>SUMIFS('SALES REPORT'!$G$2:$G1000,'SALES REPORT'!$E$2:$E1000,I$4,'SALES REPORT'!$F$2:$F1000,$B47)</f>
        <v>0</v>
      </c>
      <c r="J47" s="29">
        <f>SUMIFS('SALES REPORT'!$G$2:$G1000,'SALES REPORT'!$E$2:$E1000,J$4,'SALES REPORT'!$F$2:$F1000,$B47)</f>
        <v>0</v>
      </c>
      <c r="K47" s="29">
        <f>SUMIFS('SALES REPORT'!$G$2:$G1000,'SALES REPORT'!$E$2:$E1000,K$4,'SALES REPORT'!$F$2:$F1000,$B47)</f>
        <v>0</v>
      </c>
      <c r="L47" s="29">
        <f>SUMIFS('SALES REPORT'!$G$2:$G1000,'SALES REPORT'!$E$2:$E1000,L$4,'SALES REPORT'!$F$2:$F1000,$B47)</f>
        <v>0</v>
      </c>
      <c r="M47" s="29">
        <f>SUMIFS('SALES REPORT'!$G$2:$G1000,'SALES REPORT'!$E$2:$E1000,M$4,'SALES REPORT'!$F$2:$F1000,$B47)</f>
        <v>0</v>
      </c>
      <c r="N47" s="29">
        <f>SUMIFS('SALES REPORT'!$G$2:$G1000,'SALES REPORT'!$E$2:$E1000,N$4,'SALES REPORT'!$F$2:$F1000,$B47)</f>
        <v>0</v>
      </c>
      <c r="O47" s="29">
        <f>SUMIFS('SALES REPORT'!$G$2:$G1000,'SALES REPORT'!$E$2:$E1000,O$4,'SALES REPORT'!$F$2:$F1000,$B47)</f>
        <v>0</v>
      </c>
      <c r="P47" s="29">
        <f>SUMIFS('SALES REPORT'!$G$2:$G1000,'SALES REPORT'!$E$2:$E1000,P$4,'SALES REPORT'!$F$2:$F1000,$B47)</f>
        <v>0</v>
      </c>
      <c r="Q47" s="29">
        <f>SUMIFS('SALES REPORT'!$G$2:$G1000,'SALES REPORT'!$E$2:$E1000,Q$4,'SALES REPORT'!$F$2:$F1000,$B47)</f>
        <v>0</v>
      </c>
      <c r="R47" s="29">
        <f>SUMIFS('SALES REPORT'!$G$2:$G1000,'SALES REPORT'!$E$2:$E1000,R$4,'SALES REPORT'!$F$2:$F1000,$B47)</f>
        <v>0</v>
      </c>
    </row>
    <row r="48">
      <c r="B48" s="18" t="s">
        <v>259</v>
      </c>
      <c r="C48" s="29">
        <f>SUMIFS('SALES REPORT'!$G$2:$G1000,'SALES REPORT'!$E$2:$E1000,C$4,'SALES REPORT'!$F$2:$F1000,$B48)</f>
        <v>0</v>
      </c>
      <c r="D48" s="29">
        <f>SUMIFS('SALES REPORT'!$G$2:$G1000,'SALES REPORT'!$E$2:$E1000,D$4,'SALES REPORT'!$F$2:$F1000,$B48)</f>
        <v>0</v>
      </c>
      <c r="E48" s="29">
        <f>SUMIFS('SALES REPORT'!$G$2:$G1000,'SALES REPORT'!$E$2:$E1000,E$4,'SALES REPORT'!$F$2:$F1000,$B48)</f>
        <v>0</v>
      </c>
      <c r="F48" s="29">
        <f>SUMIFS('SALES REPORT'!$G$2:$G1000,'SALES REPORT'!$E$2:$E1000,F$4,'SALES REPORT'!$F$2:$F1000,$B48)</f>
        <v>0</v>
      </c>
      <c r="G48" s="29">
        <f>SUMIFS('SALES REPORT'!$G$2:$G1000,'SALES REPORT'!$E$2:$E1000,G$4,'SALES REPORT'!$F$2:$F1000,$B48)</f>
        <v>2</v>
      </c>
      <c r="H48" s="29">
        <f>SUMIFS('SALES REPORT'!$G$2:$G1000,'SALES REPORT'!$E$2:$E1000,H$4,'SALES REPORT'!$F$2:$F1000,$B48)</f>
        <v>0</v>
      </c>
      <c r="I48" s="29">
        <f>SUMIFS('SALES REPORT'!$G$2:$G1000,'SALES REPORT'!$E$2:$E1000,I$4,'SALES REPORT'!$F$2:$F1000,$B48)</f>
        <v>0</v>
      </c>
      <c r="J48" s="29">
        <f>SUMIFS('SALES REPORT'!$G$2:$G1000,'SALES REPORT'!$E$2:$E1000,J$4,'SALES REPORT'!$F$2:$F1000,$B48)</f>
        <v>0</v>
      </c>
      <c r="K48" s="29">
        <f>SUMIFS('SALES REPORT'!$G$2:$G1000,'SALES REPORT'!$E$2:$E1000,K$4,'SALES REPORT'!$F$2:$F1000,$B48)</f>
        <v>0</v>
      </c>
      <c r="L48" s="29">
        <f>SUMIFS('SALES REPORT'!$G$2:$G1000,'SALES REPORT'!$E$2:$E1000,L$4,'SALES REPORT'!$F$2:$F1000,$B48)</f>
        <v>0</v>
      </c>
      <c r="M48" s="29">
        <f>SUMIFS('SALES REPORT'!$G$2:$G1000,'SALES REPORT'!$E$2:$E1000,M$4,'SALES REPORT'!$F$2:$F1000,$B48)</f>
        <v>0</v>
      </c>
      <c r="N48" s="29">
        <f>SUMIFS('SALES REPORT'!$G$2:$G1000,'SALES REPORT'!$E$2:$E1000,N$4,'SALES REPORT'!$F$2:$F1000,$B48)</f>
        <v>0</v>
      </c>
      <c r="O48" s="29">
        <f>SUMIFS('SALES REPORT'!$G$2:$G1000,'SALES REPORT'!$E$2:$E1000,O$4,'SALES REPORT'!$F$2:$F1000,$B48)</f>
        <v>0</v>
      </c>
      <c r="P48" s="29">
        <f>SUMIFS('SALES REPORT'!$G$2:$G1000,'SALES REPORT'!$E$2:$E1000,P$4,'SALES REPORT'!$F$2:$F1000,$B48)</f>
        <v>0</v>
      </c>
      <c r="Q48" s="29">
        <f>SUMIFS('SALES REPORT'!$G$2:$G1000,'SALES REPORT'!$E$2:$E1000,Q$4,'SALES REPORT'!$F$2:$F1000,$B48)</f>
        <v>0</v>
      </c>
      <c r="R48" s="29">
        <f>SUMIFS('SALES REPORT'!$G$2:$G1000,'SALES REPORT'!$E$2:$E1000,R$4,'SALES REPORT'!$F$2:$F1000,$B48)</f>
        <v>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7" width="18.38"/>
  </cols>
  <sheetData>
    <row r="1">
      <c r="A1" s="35" t="s">
        <v>460</v>
      </c>
      <c r="B1" s="35" t="s">
        <v>461</v>
      </c>
      <c r="C1" s="35" t="s">
        <v>462</v>
      </c>
      <c r="D1" s="35" t="s">
        <v>463</v>
      </c>
      <c r="E1" s="35" t="s">
        <v>464</v>
      </c>
      <c r="F1" s="35" t="s">
        <v>465</v>
      </c>
      <c r="G1" s="3" t="s">
        <v>466</v>
      </c>
    </row>
    <row r="2">
      <c r="A2" s="12">
        <v>238.0</v>
      </c>
      <c r="B2" s="12">
        <v>6.0</v>
      </c>
      <c r="C2" s="12">
        <v>12.0</v>
      </c>
      <c r="D2" s="12" t="s">
        <v>467</v>
      </c>
      <c r="E2" s="12" t="s">
        <v>468</v>
      </c>
      <c r="F2" s="14" t="s">
        <v>264</v>
      </c>
      <c r="G2" s="3" t="s">
        <v>469</v>
      </c>
    </row>
    <row r="3">
      <c r="A3" s="14"/>
      <c r="B3" s="14"/>
      <c r="C3" s="14"/>
      <c r="D3" s="14"/>
      <c r="E3" s="14"/>
      <c r="F3" s="14" t="s">
        <v>216</v>
      </c>
    </row>
    <row r="4">
      <c r="A4" s="14"/>
      <c r="B4" s="14"/>
      <c r="C4" s="14"/>
      <c r="D4" s="14"/>
      <c r="E4" s="14"/>
      <c r="F4" s="14" t="s">
        <v>92</v>
      </c>
      <c r="G4" s="3" t="s">
        <v>470</v>
      </c>
    </row>
    <row r="5">
      <c r="A5" s="14"/>
      <c r="B5" s="14"/>
      <c r="C5" s="14"/>
      <c r="D5" s="14"/>
      <c r="E5" s="14"/>
      <c r="F5" s="14" t="s">
        <v>217</v>
      </c>
    </row>
    <row r="6">
      <c r="A6" s="14"/>
      <c r="B6" s="14"/>
      <c r="C6" s="14"/>
      <c r="D6" s="14"/>
      <c r="E6" s="14"/>
      <c r="F6" s="14" t="s">
        <v>25</v>
      </c>
    </row>
    <row r="7">
      <c r="A7" s="14"/>
      <c r="B7" s="14"/>
      <c r="C7" s="14"/>
      <c r="D7" s="14"/>
      <c r="E7" s="14"/>
      <c r="F7" s="14" t="s">
        <v>218</v>
      </c>
    </row>
    <row r="8">
      <c r="A8" s="14"/>
      <c r="B8" s="14"/>
      <c r="C8" s="14"/>
      <c r="D8" s="14"/>
      <c r="E8" s="14"/>
      <c r="F8" s="14" t="s">
        <v>125</v>
      </c>
    </row>
    <row r="9">
      <c r="A9" s="14"/>
      <c r="B9" s="14"/>
      <c r="C9" s="14"/>
      <c r="D9" s="14"/>
      <c r="E9" s="14"/>
      <c r="F9" s="14" t="s">
        <v>53</v>
      </c>
    </row>
    <row r="10">
      <c r="A10" s="14"/>
      <c r="B10" s="14"/>
      <c r="C10" s="14"/>
      <c r="D10" s="14"/>
      <c r="E10" s="14"/>
      <c r="F10" s="14" t="s">
        <v>221</v>
      </c>
    </row>
    <row r="11">
      <c r="A11" s="14"/>
      <c r="B11" s="14"/>
      <c r="C11" s="14"/>
      <c r="D11" s="14"/>
      <c r="E11" s="14"/>
      <c r="F11" s="14" t="s">
        <v>222</v>
      </c>
    </row>
    <row r="12">
      <c r="A12" s="14"/>
      <c r="B12" s="14"/>
      <c r="C12" s="14"/>
      <c r="D12" s="14"/>
      <c r="E12" s="14"/>
      <c r="F12" s="14" t="s">
        <v>223</v>
      </c>
    </row>
    <row r="13">
      <c r="A13" s="14"/>
      <c r="B13" s="14"/>
      <c r="C13" s="14"/>
      <c r="D13" s="14"/>
      <c r="E13" s="14"/>
      <c r="F13" s="14" t="s">
        <v>219</v>
      </c>
    </row>
    <row r="14">
      <c r="A14" s="14"/>
      <c r="B14" s="14"/>
      <c r="C14" s="14"/>
      <c r="D14" s="14"/>
      <c r="E14" s="14"/>
      <c r="F14" s="14" t="s">
        <v>472</v>
      </c>
    </row>
    <row r="15">
      <c r="A15" s="14"/>
      <c r="B15" s="14"/>
      <c r="C15" s="14"/>
      <c r="D15" s="14"/>
      <c r="E15" s="14"/>
      <c r="F15" s="14" t="s">
        <v>8</v>
      </c>
    </row>
    <row r="16">
      <c r="A16" s="14"/>
      <c r="B16" s="14"/>
      <c r="C16" s="14"/>
      <c r="D16" s="14"/>
      <c r="E16" s="14"/>
      <c r="F16" s="14" t="s">
        <v>225</v>
      </c>
    </row>
    <row r="17">
      <c r="A17" s="14"/>
      <c r="B17" s="14"/>
      <c r="C17" s="14"/>
      <c r="D17" s="14"/>
      <c r="E17" s="14"/>
      <c r="F17" s="14" t="s">
        <v>227</v>
      </c>
    </row>
    <row r="18">
      <c r="A18" s="14"/>
      <c r="B18" s="14"/>
      <c r="C18" s="14"/>
      <c r="D18" s="14"/>
      <c r="E18" s="14"/>
      <c r="F18" s="14" t="s">
        <v>226</v>
      </c>
    </row>
  </sheetData>
  <drawing r:id="rId1"/>
</worksheet>
</file>